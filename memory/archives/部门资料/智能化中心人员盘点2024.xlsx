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60" windowHeight="14040"/>
  </bookViews>
  <sheets>
    <sheet name="智能化中心研发人员盘点" sheetId="2" r:id="rId1"/>
    <sheet name="红绿灯对照表" sheetId="3" r:id="rId2"/>
    <sheet name="素质" sheetId="4" r:id="rId3"/>
    <sheet name="业绩" sheetId="5" r:id="rId4"/>
    <sheet name="潜力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<sst xmlns="http://schemas.openxmlformats.org/spreadsheetml/2006/main" count="410" uniqueCount="287">
  <si>
    <t>姓名</t>
  </si>
  <si>
    <t>岗位</t>
  </si>
  <si>
    <t>年龄</t>
  </si>
  <si>
    <t>从业年限</t>
  </si>
  <si>
    <t>出生年月</t>
  </si>
  <si>
    <t>第一学历</t>
  </si>
  <si>
    <t>毕业学校</t>
  </si>
  <si>
    <t>专业</t>
  </si>
  <si>
    <t>毕业时间</t>
  </si>
  <si>
    <t>第二学历</t>
  </si>
  <si>
    <t>诚信</t>
  </si>
  <si>
    <t>责任</t>
  </si>
  <si>
    <t>协同</t>
  </si>
  <si>
    <t>创新</t>
  </si>
  <si>
    <t>素质平均分</t>
  </si>
  <si>
    <t>素质等级</t>
  </si>
  <si>
    <t>工作贡献度</t>
  </si>
  <si>
    <t>工作及时性</t>
  </si>
  <si>
    <t>工作质量</t>
  </si>
  <si>
    <t>业绩平均分</t>
  </si>
  <si>
    <t>业绩等级</t>
  </si>
  <si>
    <t>红绿灯定位</t>
  </si>
  <si>
    <t>潜力-学习敏捷度</t>
  </si>
  <si>
    <t>潜力-职业抱负</t>
  </si>
  <si>
    <t>潜力-敬业度</t>
  </si>
  <si>
    <t>潜力得分</t>
  </si>
  <si>
    <t>潜力等级</t>
  </si>
  <si>
    <t>优点</t>
  </si>
  <si>
    <t>待提升</t>
  </si>
  <si>
    <t>目前工作</t>
  </si>
  <si>
    <t>任用建议</t>
  </si>
  <si>
    <t>离职风险</t>
  </si>
  <si>
    <t>离职影响</t>
  </si>
  <si>
    <t>关键岗位</t>
  </si>
  <si>
    <t>继任者</t>
  </si>
  <si>
    <t>陈嘉明</t>
  </si>
  <si>
    <t>产品经理</t>
  </si>
  <si>
    <t>1995-05-09</t>
  </si>
  <si>
    <t>本科</t>
  </si>
  <si>
    <t>中国地质大学（北京）</t>
  </si>
  <si>
    <t>资源勘查工程（固体矿产）</t>
  </si>
  <si>
    <t>2017/6/30</t>
  </si>
  <si>
    <t>硕士</t>
  </si>
  <si>
    <t>矿物学、岩石学、矿床学</t>
  </si>
  <si>
    <t>自信</t>
  </si>
  <si>
    <t>谦卑  业务理解</t>
  </si>
  <si>
    <t>供应链管理系统梳理、西宁智慧电厂交付</t>
  </si>
  <si>
    <t>向高手学习</t>
  </si>
  <si>
    <t>中</t>
  </si>
  <si>
    <t>低</t>
  </si>
  <si>
    <t>否</t>
  </si>
  <si>
    <t>杨雪儿</t>
  </si>
  <si>
    <t>褚宏豪</t>
  </si>
  <si>
    <t>2001-02-11</t>
  </si>
  <si>
    <t>大专</t>
  </si>
  <si>
    <t>济南职业学院</t>
  </si>
  <si>
    <t>计算机科学与技术</t>
  </si>
  <si>
    <t>2021/7/1</t>
  </si>
  <si>
    <t>责任 包容 抗压</t>
  </si>
  <si>
    <t xml:space="preserve">自信 条理性 方法论学习 </t>
  </si>
  <si>
    <t>abi维护，精益管理专案</t>
  </si>
  <si>
    <t>赋予挑战性工作</t>
  </si>
  <si>
    <t>高</t>
  </si>
  <si>
    <t>袁江、许吉</t>
  </si>
  <si>
    <t>1990-12-17</t>
  </si>
  <si>
    <t>四川农业大学</t>
  </si>
  <si>
    <t>园林</t>
  </si>
  <si>
    <t>2013/7/1</t>
  </si>
  <si>
    <t>责任 创新 细致 方法论</t>
  </si>
  <si>
    <t>领导力</t>
  </si>
  <si>
    <t>产品设计、精益管理专案、材料输出</t>
  </si>
  <si>
    <t>是</t>
  </si>
  <si>
    <t>张吉峰</t>
  </si>
  <si>
    <t>欧强</t>
  </si>
  <si>
    <t>后端开发工程师</t>
  </si>
  <si>
    <t>1990-03-02</t>
  </si>
  <si>
    <t>高中</t>
  </si>
  <si>
    <t>重庆市字水中学</t>
  </si>
  <si>
    <t>2018/10/1</t>
  </si>
  <si>
    <t>责任 好奇</t>
  </si>
  <si>
    <t>理解力 影响力</t>
  </si>
  <si>
    <t>服务器运维，后端开发</t>
  </si>
  <si>
    <t>扩大职责</t>
  </si>
  <si>
    <t>李弦</t>
  </si>
  <si>
    <t>覃益佳</t>
  </si>
  <si>
    <t>1994-04-27</t>
  </si>
  <si>
    <t>四川航天职业技术学天</t>
  </si>
  <si>
    <t>飞行器制造工艺</t>
  </si>
  <si>
    <t>机械设计制造及其自动化</t>
  </si>
  <si>
    <t>稳定</t>
  </si>
  <si>
    <t>技术能力  职业抱负</t>
  </si>
  <si>
    <t>后端开发</t>
  </si>
  <si>
    <t>保持现状、择机替换</t>
  </si>
  <si>
    <t>叶维政</t>
  </si>
  <si>
    <t>前端开发工程师</t>
  </si>
  <si>
    <t>1996-02-08</t>
  </si>
  <si>
    <t>西南科技大学</t>
  </si>
  <si>
    <t>信息安全</t>
  </si>
  <si>
    <t>2018/6/1</t>
  </si>
  <si>
    <t xml:space="preserve">好奇 </t>
  </si>
  <si>
    <t>专注 效率 细节</t>
  </si>
  <si>
    <t>前端开发</t>
  </si>
  <si>
    <t>徐雨濛</t>
  </si>
  <si>
    <t>袁江</t>
  </si>
  <si>
    <t>1999-03-19</t>
  </si>
  <si>
    <t>攀枝花学院</t>
  </si>
  <si>
    <t>2021/6/30</t>
  </si>
  <si>
    <t>技术能力 业务理解</t>
  </si>
  <si>
    <t>abi维护，前端开发</t>
  </si>
  <si>
    <t>1997-03-21</t>
  </si>
  <si>
    <t>西华大学</t>
  </si>
  <si>
    <t>物联网工程</t>
  </si>
  <si>
    <t>2020/6/30</t>
  </si>
  <si>
    <t>客户意识  稳定</t>
  </si>
  <si>
    <t>效率 细节</t>
  </si>
  <si>
    <t>导师带教</t>
  </si>
  <si>
    <t>周玉顺</t>
  </si>
  <si>
    <t>实施工程师</t>
  </si>
  <si>
    <t>1999-02-10</t>
  </si>
  <si>
    <t>昆明理工大学</t>
  </si>
  <si>
    <t>测控技术与仪器</t>
  </si>
  <si>
    <t>2022/6/30</t>
  </si>
  <si>
    <t>稳定  抗压</t>
  </si>
  <si>
    <t>技术能力  表达能力</t>
  </si>
  <si>
    <t>承德智慧电厂交付、监盘模型开发</t>
  </si>
  <si>
    <t>曹阳</t>
  </si>
  <si>
    <t>1986-09-15</t>
  </si>
  <si>
    <t>成都职业技术学院</t>
  </si>
  <si>
    <t>计算机网络技术</t>
  </si>
  <si>
    <t>2008/7/1</t>
  </si>
  <si>
    <t>稳定 能把自己能做的事完成</t>
  </si>
  <si>
    <t>突破边界</t>
  </si>
  <si>
    <t>工业电视项目交付、机房、网络维护</t>
  </si>
  <si>
    <t>保持现状</t>
  </si>
  <si>
    <t>许吉</t>
  </si>
  <si>
    <t>1997-05-27</t>
  </si>
  <si>
    <t>信息与计算科学</t>
  </si>
  <si>
    <t>2020/7/1</t>
  </si>
  <si>
    <t>责任 业务理解</t>
  </si>
  <si>
    <t>系统思维</t>
  </si>
  <si>
    <t>ncc系统运维、精益管理专案</t>
  </si>
  <si>
    <t>外招</t>
  </si>
  <si>
    <t>智能化中心研发人员红绿灯分布比例分析</t>
  </si>
  <si>
    <t>实际人数</t>
  </si>
  <si>
    <t>比例</t>
  </si>
  <si>
    <t>理想比例</t>
  </si>
  <si>
    <t>2+</t>
  </si>
  <si>
    <t>总数</t>
  </si>
  <si>
    <t>红绿灯索引表</t>
  </si>
  <si>
    <t>不同人员任用建议</t>
  </si>
  <si>
    <t>素质</t>
  </si>
  <si>
    <t>绩效</t>
  </si>
  <si>
    <t>索引</t>
  </si>
  <si>
    <t>盘点</t>
  </si>
  <si>
    <t>人才</t>
  </si>
  <si>
    <t>人力资源关注度</t>
  </si>
  <si>
    <t>人力资源工作的介入方式</t>
  </si>
  <si>
    <t>高高</t>
  </si>
  <si>
    <t>结果</t>
  </si>
  <si>
    <t>定位</t>
  </si>
  <si>
    <t>岗位调整计划</t>
  </si>
  <si>
    <t>培养发展方式</t>
  </si>
  <si>
    <t>中高</t>
  </si>
  <si>
    <t>超级明星</t>
  </si>
  <si>
    <t>个体性高度关注，作为上级岗位继任者</t>
  </si>
  <si>
    <t>1年内可晋升</t>
  </si>
  <si>
    <t>快速晋升、轮岗、扩大工作职责、授权，确保薪酬领先性</t>
  </si>
  <si>
    <t>核心骨干</t>
  </si>
  <si>
    <t>个体性高度关注，作为高潜力后备人才</t>
  </si>
  <si>
    <t>1年以上，2年内可晋升</t>
  </si>
  <si>
    <t>谨慎规划下个晋升目标、轮岗、扩大工作职责、授权，确保薪酬竞争性</t>
  </si>
  <si>
    <t>低高</t>
  </si>
  <si>
    <t>中坚力量</t>
  </si>
  <si>
    <t>整体性一般关注</t>
  </si>
  <si>
    <t>保持不变</t>
  </si>
  <si>
    <t>应重点开发、培训、使其转化成明星</t>
  </si>
  <si>
    <t>中中</t>
  </si>
  <si>
    <t>业绩不佳但素质尚可</t>
  </si>
  <si>
    <t>个体性重点关注，判断是否需转岗</t>
  </si>
  <si>
    <t>必要时转岗</t>
  </si>
  <si>
    <t>警告或激励，明确改进要求，评估是否适应其他环境或岗位，无迅速改进者应剥离组织或降级</t>
  </si>
  <si>
    <t>低中</t>
  </si>
  <si>
    <t>素质不佳但业绩尚可</t>
  </si>
  <si>
    <t>个体性一般关注，判断是否有培养潜力以及发展为导师的可能性</t>
  </si>
  <si>
    <t>给予认可，减少管理职责，培训，采用平移方式来保持工作积极性，可考虑剥离出组织</t>
  </si>
  <si>
    <t>高低</t>
  </si>
  <si>
    <t>失败者</t>
  </si>
  <si>
    <t>个体性重点关注，判断是否应淘汰</t>
  </si>
  <si>
    <t>或淘汰</t>
  </si>
  <si>
    <t>尽快剥离出组织</t>
  </si>
  <si>
    <t>中低</t>
  </si>
  <si>
    <t>低低</t>
  </si>
  <si>
    <t>定义</t>
  </si>
  <si>
    <t>对内</t>
  </si>
  <si>
    <t xml:space="preserve">   对外</t>
  </si>
  <si>
    <t>业绩不佳但</t>
  </si>
  <si>
    <t xml:space="preserve">胜任此级别工作并有非常大的发展潜力 </t>
  </si>
  <si>
    <t>对比其它公司同岗位人员能建立明显竞争优势</t>
  </si>
  <si>
    <t>素质尚可</t>
  </si>
  <si>
    <t xml:space="preserve">胜任本级别工作，有较大的跨职能、跨职能模块灵活性，重点改进后还有较大发展 </t>
  </si>
  <si>
    <t>能够建立一定的竞争优势不会导致竞争劣势</t>
  </si>
  <si>
    <t>胜任本岗位,有一定的跨职能、跨模块的适应性，重点改进后有一定的发展</t>
  </si>
  <si>
    <t>不能建立一定的竞争优势；可预见的短期内不会造成竞争劣势</t>
  </si>
  <si>
    <t>业绩不佳但有能力</t>
  </si>
  <si>
    <t xml:space="preserve">有潜力胜任现岗但目前还不能胜任或不适合 </t>
  </si>
  <si>
    <t>有竞争劣势，但有改善的余地（通过经验积累或换到其它岗位）</t>
  </si>
  <si>
    <t>表现尚可 但能力一般</t>
  </si>
  <si>
    <t xml:space="preserve">胜任本岗位工作，到其它岗位的灵活性一般，但进一步发展的潜力极其有限 </t>
  </si>
  <si>
    <t>没有竞争优势；在可见的未来内会造成竞争劣势</t>
  </si>
  <si>
    <t>表现尚可但能力一般</t>
  </si>
  <si>
    <t>不胜任现岗，也不具备发展提高的潜力</t>
  </si>
  <si>
    <t>能明显导致竞争劣势，也不具备发展提高的潜力</t>
  </si>
  <si>
    <t>业绩</t>
  </si>
  <si>
    <t>分类</t>
  </si>
  <si>
    <t>素质项</t>
  </si>
  <si>
    <t>0-1分（待发展）</t>
  </si>
  <si>
    <t>2-3分（合格）</t>
  </si>
  <si>
    <t>4-5分（优秀）</t>
  </si>
  <si>
    <t>6-7分（卓越）</t>
  </si>
  <si>
    <t>通用</t>
  </si>
  <si>
    <t>不怀恶意，与人为善，诚信正直</t>
  </si>
  <si>
    <t>偶有偏差，不能说到做到，掩饰问题，对不良行为不管不问</t>
  </si>
  <si>
    <r>
      <rPr>
        <sz val="10"/>
        <color rgb="FFC00000"/>
        <rFont val="微软雅黑"/>
        <charset val="134"/>
      </rPr>
      <t>言行合一：</t>
    </r>
    <r>
      <rPr>
        <sz val="10"/>
        <color theme="1"/>
        <rFont val="微软雅黑"/>
        <charset val="134"/>
      </rPr>
      <t>遵守承诺，说到做到，善待他人</t>
    </r>
  </si>
  <si>
    <r>
      <rPr>
        <sz val="10"/>
        <color rgb="FFC00000"/>
        <rFont val="微软雅黑"/>
        <charset val="134"/>
      </rPr>
      <t>助人为乐：</t>
    </r>
    <r>
      <rPr>
        <sz val="10"/>
        <color theme="1"/>
        <rFont val="微软雅黑"/>
        <charset val="134"/>
      </rPr>
      <t>坚持原则，讲真话，真心实意帮助他人，并获得快乐</t>
    </r>
  </si>
  <si>
    <r>
      <rPr>
        <sz val="10"/>
        <color rgb="FFC00000"/>
        <rFont val="微软雅黑"/>
        <charset val="134"/>
      </rPr>
      <t>止恶扬善：</t>
    </r>
    <r>
      <rPr>
        <sz val="10"/>
        <color theme="1"/>
        <rFont val="微软雅黑"/>
        <charset val="134"/>
      </rPr>
      <t>制止他人错误，面对极大困难时仍能信守承诺，面对诱惑时恪守奉公，是企业中的榜样</t>
    </r>
  </si>
  <si>
    <t>拥有勇气，面对困境主动承担责任，保持理性，耐性，积极自我调节，坚持目标不动摇</t>
  </si>
  <si>
    <t>面对失败和打击容易灰心丧气，需要一段时间才能恢复，再次面对类似问题时选择逃避</t>
  </si>
  <si>
    <r>
      <rPr>
        <sz val="10"/>
        <color rgb="FFC00000"/>
        <rFont val="微软雅黑"/>
        <charset val="134"/>
      </rPr>
      <t>不言放弃：</t>
    </r>
    <r>
      <rPr>
        <sz val="10"/>
        <color theme="1"/>
        <rFont val="微软雅黑"/>
        <charset val="134"/>
      </rPr>
      <t>面对困难和压力时，不轻言放弃，主动寻求帮助，坚持完成工作</t>
    </r>
  </si>
  <si>
    <r>
      <rPr>
        <sz val="10"/>
        <color rgb="FFC00000"/>
        <rFont val="微软雅黑"/>
        <charset val="134"/>
      </rPr>
      <t>超越自我：</t>
    </r>
    <r>
      <rPr>
        <sz val="10"/>
        <color theme="1"/>
        <rFont val="微软雅黑"/>
        <charset val="134"/>
      </rPr>
      <t>面对失败主动承担，自我激励，坦然接受艰难的工作环境和强度大的工作，保持前进动力</t>
    </r>
  </si>
  <si>
    <r>
      <rPr>
        <sz val="10"/>
        <color rgb="FFC00000"/>
        <rFont val="微软雅黑"/>
        <charset val="134"/>
      </rPr>
      <t>树立标杆：</t>
    </r>
    <r>
      <rPr>
        <sz val="10"/>
        <color theme="1"/>
        <rFont val="微软雅黑"/>
        <charset val="134"/>
      </rPr>
      <t>将压力视为动力，有强烈的目标感和必达目标的信心，影响团队形成永不退缩的毅力与决心</t>
    </r>
  </si>
  <si>
    <t>以他人需求作为思考和行动的指南，尽心尽责为他人提供满意的服务。
他人包括客户、下游、团队</t>
  </si>
  <si>
    <t>以自我为中心，对他人提出的需求不积极、不热情，响应速度慢，缺乏对用户需求的充分关注、理解，较少关注工作过程中的细节，无法满足用户</t>
  </si>
  <si>
    <r>
      <rPr>
        <sz val="10"/>
        <color rgb="FFC00000"/>
        <rFont val="微软雅黑"/>
        <charset val="134"/>
      </rPr>
      <t>积极响应：</t>
    </r>
    <r>
      <rPr>
        <sz val="10"/>
        <rFont val="微软雅黑"/>
        <charset val="134"/>
      </rPr>
      <t>能够及时响应他人的需求，主动调整工作方式以满足需求，严格要求自身工作，保证工作质量，并被他人认可</t>
    </r>
  </si>
  <si>
    <r>
      <rPr>
        <sz val="10"/>
        <color rgb="FFC00000"/>
        <rFont val="微软雅黑"/>
        <charset val="134"/>
      </rPr>
      <t>100%满意：</t>
    </r>
    <r>
      <rPr>
        <sz val="10"/>
        <color theme="1"/>
        <rFont val="微软雅黑"/>
        <charset val="134"/>
      </rPr>
      <t>主动接触用户，</t>
    </r>
    <r>
      <rPr>
        <sz val="10"/>
        <rFont val="微软雅黑"/>
        <charset val="134"/>
      </rPr>
      <t>准确理解他人需求，及时且专业地处理问题，遇到困难时不推诿，有担当，被他人信赖</t>
    </r>
  </si>
  <si>
    <r>
      <rPr>
        <sz val="10"/>
        <color rgb="FFC00000"/>
        <rFont val="微软雅黑"/>
        <charset val="134"/>
      </rPr>
      <t>超越期望：</t>
    </r>
    <r>
      <rPr>
        <sz val="10"/>
        <rFont val="微软雅黑"/>
        <charset val="134"/>
      </rPr>
      <t>精准挖掘、甚至预测他人深层次需求，主动出击，带领团队提供超出他人期待的服务，深受信赖</t>
    </r>
  </si>
  <si>
    <t>保持开放心态，不断学习成长，从意识到行为由内而外不断迭代</t>
  </si>
  <si>
    <t>惯用旧有的思维解决问题，畏惧变化或对外界变化无感知，缺乏创新性思维</t>
  </si>
  <si>
    <r>
      <rPr>
        <sz val="10"/>
        <color rgb="FFC00000"/>
        <rFont val="微软雅黑"/>
        <charset val="134"/>
      </rPr>
      <t>接受适应：</t>
    </r>
    <r>
      <rPr>
        <sz val="10"/>
        <color theme="1"/>
        <rFont val="微软雅黑"/>
        <charset val="134"/>
      </rPr>
      <t>理性对待变化，主动了解、配合拥抱变化，并提出优化建议及解决方案</t>
    </r>
  </si>
  <si>
    <r>
      <rPr>
        <sz val="10"/>
        <color rgb="FFC00000"/>
        <rFont val="微软雅黑"/>
        <charset val="134"/>
      </rPr>
      <t>推陈出新：</t>
    </r>
    <r>
      <rPr>
        <sz val="10"/>
        <color theme="1"/>
        <rFont val="微软雅黑"/>
        <charset val="134"/>
      </rPr>
      <t>主动更新迭代，知识结构、思维模式、工作方法，并正面引导和带动同事产出新成果</t>
    </r>
  </si>
  <si>
    <r>
      <rPr>
        <sz val="10"/>
        <color rgb="FFC00000"/>
        <rFont val="微软雅黑"/>
        <charset val="134"/>
      </rPr>
      <t>突破创新：</t>
    </r>
    <r>
      <rPr>
        <sz val="10"/>
        <color theme="1"/>
        <rFont val="微软雅黑"/>
        <charset val="134"/>
      </rPr>
      <t>具有前瞻性知识结构、思维模式、工作方法，并推动组织进步，取得行业领先的成果</t>
    </r>
  </si>
  <si>
    <t>0-1分</t>
  </si>
  <si>
    <t>2-3分</t>
  </si>
  <si>
    <t>4-5分</t>
  </si>
  <si>
    <t>6-7分</t>
  </si>
  <si>
    <t>岗位工作贡献远未达到预期</t>
  </si>
  <si>
    <t>岗位工作贡献勉强达到预期</t>
  </si>
  <si>
    <t>岗位工作贡献达到预期</t>
  </si>
  <si>
    <t>岗位工作贡献超出预期</t>
  </si>
  <si>
    <t>工作几乎不能及时完成，常出现拖延</t>
  </si>
  <si>
    <t>部分工作能按时完成，偶尔出现拖延</t>
  </si>
  <si>
    <t>大部分情况下能按时完成工作</t>
  </si>
  <si>
    <t>工作都能及时或提前完成</t>
  </si>
  <si>
    <t>工作质量都达不到期望，不符合岗位要求</t>
  </si>
  <si>
    <t>工作质量勉强符合要求</t>
  </si>
  <si>
    <t>工作质量符合期望，能够满足岗位要求</t>
  </si>
  <si>
    <t>工作质量超出预期，完全胜任岗位要求</t>
  </si>
  <si>
    <t>潜力标准</t>
  </si>
  <si>
    <t>行为要求</t>
  </si>
  <si>
    <t>评价方法</t>
  </si>
  <si>
    <t>学习敏捷度</t>
  </si>
  <si>
    <t>能够快速学习新事物，并能快速适应各种具有挑战性的新环境</t>
  </si>
  <si>
    <t>1. 自信但不自大</t>
  </si>
  <si>
    <r>
      <rPr>
        <sz val="10"/>
        <color rgb="FF000000"/>
        <rFont val="微软雅黑"/>
        <charset val="134"/>
      </rPr>
      <t>1.共三项潜力标准，每个潜力标准下分为</t>
    </r>
    <r>
      <rPr>
        <sz val="10"/>
        <color rgb="FFFF0000"/>
        <rFont val="微软雅黑"/>
        <charset val="134"/>
      </rPr>
      <t>7个</t>
    </r>
    <r>
      <rPr>
        <sz val="10"/>
        <color rgb="FF000000"/>
        <rFont val="微软雅黑"/>
        <charset val="134"/>
      </rPr>
      <t>行为要求
2.单个潜力标准下：
满足0-3个行为要求，为“低”，1分
满足4-5个行为要求，为“中”，2分
满足6-7个行为要求，为“高”，3分</t>
    </r>
  </si>
  <si>
    <t>2. 能从错误和失败经历中吸取教训并快速纠正——显示出较强的适应力</t>
  </si>
  <si>
    <t>3. 敢于尝试改变：经常率先采用新技术和流程</t>
  </si>
  <si>
    <t>4.理解他人的需求和关注点</t>
  </si>
  <si>
    <t>5.能快速掌握新领域的专业知识</t>
  </si>
  <si>
    <t>6.困难环境下表现镇定</t>
  </si>
  <si>
    <t>7.能够将所学快速运用到实际工作中，并取得成果</t>
  </si>
  <si>
    <t>职业抱负</t>
  </si>
  <si>
    <t>显示出承担更大职责和担任更高领导职位的潜力</t>
  </si>
  <si>
    <t>1.设立高难度目标并为之倾注全力</t>
  </si>
  <si>
    <t>2.接受极富挑战性的任务，并高效达成</t>
  </si>
  <si>
    <t>3.努力工作以寻求更高的职业发展</t>
  </si>
  <si>
    <t>4.积极影响和激励他人</t>
  </si>
  <si>
    <t>5.可以担任更多工作内容或更大工作范围的领导角色</t>
  </si>
  <si>
    <t>6.显示出高层领导的勇气——无惧在适当的时候拒绝或反对他人</t>
  </si>
  <si>
    <t>7.能站在超出本岗位的视角考虑问题，具备全局观</t>
  </si>
  <si>
    <t>敬业度</t>
  </si>
  <si>
    <t>对岗位和公司表现出较强的认同感和归属感</t>
  </si>
  <si>
    <t>1.期望长久服务于公司</t>
  </si>
  <si>
    <t>2.始终专注于结果和目标</t>
  </si>
  <si>
    <t>3.在工作中“奉献更多”</t>
  </si>
  <si>
    <t>4.在工作中具有主人翁意识，尽职尽责</t>
  </si>
  <si>
    <t>5.在公司工作享受这个过程</t>
  </si>
  <si>
    <t>6.根据公司安排，接受跨地区、跨部门调配</t>
  </si>
  <si>
    <t>7.付出额外努力，帮助公司达成目标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</si>
</sst>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,##0_ "/>
    <numFmt numFmtId="178" formatCode="0.00_);[Red]\(0.00\)"/>
  </numFmts>
  <fonts count="5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1"/>
      <name val="微软雅黑"/>
      <charset val="134"/>
    </font>
    <font>
      <sz val="10"/>
      <color rgb="FFC00000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b/>
      <sz val="10"/>
      <color theme="0"/>
      <name val="微软雅黑"/>
      <charset val="134"/>
    </font>
    <font>
      <sz val="10"/>
      <color theme="0"/>
      <name val="微软雅黑"/>
      <charset val="134"/>
    </font>
    <font>
      <b/>
      <sz val="9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8"/>
      <color rgb="FF000000"/>
      <name val="微软雅黑"/>
      <charset val="134"/>
    </font>
    <font>
      <sz val="8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3" borderId="3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6" fillId="0" borderId="34" applyNumberFormat="0" applyFill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36" applyNumberFormat="0" applyAlignment="0" applyProtection="0">
      <alignment vertical="center"/>
    </xf>
    <xf numFmtId="0" fontId="39" fillId="15" borderId="37" applyNumberFormat="0" applyAlignment="0" applyProtection="0">
      <alignment vertical="center"/>
    </xf>
    <xf numFmtId="0" fontId="40" fillId="15" borderId="36" applyNumberFormat="0" applyAlignment="0" applyProtection="0">
      <alignment vertical="center"/>
    </xf>
    <xf numFmtId="0" fontId="41" fillId="16" borderId="38" applyNumberFormat="0" applyAlignment="0" applyProtection="0">
      <alignment vertical="center"/>
    </xf>
    <xf numFmtId="0" fontId="42" fillId="0" borderId="39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left" wrapText="1" readingOrder="1"/>
    </xf>
    <xf numFmtId="0" fontId="4" fillId="0" borderId="2" xfId="0" applyFont="1" applyFill="1" applyBorder="1" applyAlignment="1">
      <alignment horizontal="left" vertical="center" wrapText="1" readingOrder="1"/>
    </xf>
    <xf numFmtId="0" fontId="3" fillId="0" borderId="4" xfId="0" applyFont="1" applyFill="1" applyBorder="1" applyAlignment="1">
      <alignment horizontal="center" vertical="center" wrapText="1" readingOrder="1"/>
    </xf>
    <xf numFmtId="0" fontId="4" fillId="0" borderId="4" xfId="0" applyFont="1" applyFill="1" applyBorder="1" applyAlignment="1">
      <alignment horizontal="center" vertical="center" wrapText="1" readingOrder="1"/>
    </xf>
    <xf numFmtId="0" fontId="4" fillId="0" borderId="5" xfId="0" applyFont="1" applyFill="1" applyBorder="1" applyAlignment="1">
      <alignment horizontal="left" wrapText="1" readingOrder="1"/>
    </xf>
    <xf numFmtId="0" fontId="4" fillId="0" borderId="4" xfId="0" applyFont="1" applyFill="1" applyBorder="1" applyAlignment="1">
      <alignment horizontal="left" vertical="center" wrapText="1" readingOrder="1"/>
    </xf>
    <xf numFmtId="0" fontId="3" fillId="0" borderId="6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center" vertical="center" wrapText="1" readingOrder="1"/>
    </xf>
    <xf numFmtId="0" fontId="4" fillId="0" borderId="7" xfId="0" applyFont="1" applyFill="1" applyBorder="1" applyAlignment="1">
      <alignment horizontal="left" wrapText="1" readingOrder="1"/>
    </xf>
    <xf numFmtId="0" fontId="5" fillId="0" borderId="5" xfId="0" applyFont="1" applyFill="1" applyBorder="1" applyAlignment="1">
      <alignment horizontal="left" wrapText="1" readingOrder="1"/>
    </xf>
    <xf numFmtId="0" fontId="4" fillId="0" borderId="6" xfId="0" applyFont="1" applyFill="1" applyBorder="1" applyAlignment="1">
      <alignment horizontal="left" vertical="center" wrapText="1" readingOrder="1"/>
    </xf>
    <xf numFmtId="0" fontId="0" fillId="0" borderId="0" xfId="50" applyFont="1" applyFill="1" applyAlignment="1"/>
    <xf numFmtId="0" fontId="6" fillId="0" borderId="8" xfId="53" applyFont="1" applyBorder="1" applyAlignment="1">
      <alignment horizontal="center" vertical="center" wrapText="1"/>
    </xf>
    <xf numFmtId="0" fontId="1" fillId="0" borderId="8" xfId="53" applyFont="1" applyBorder="1" applyAlignment="1">
      <alignment horizontal="left" vertical="center" wrapText="1"/>
    </xf>
    <xf numFmtId="0" fontId="7" fillId="0" borderId="0" xfId="50" applyFont="1" applyFill="1" applyAlignment="1"/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0" fontId="1" fillId="0" borderId="0" xfId="50" applyFont="1"/>
    <xf numFmtId="0" fontId="12" fillId="3" borderId="19" xfId="50" applyFont="1" applyFill="1" applyBorder="1" applyAlignment="1">
      <alignment horizontal="center" vertical="center"/>
    </xf>
    <xf numFmtId="0" fontId="12" fillId="3" borderId="20" xfId="50" applyFont="1" applyFill="1" applyBorder="1" applyAlignment="1">
      <alignment horizontal="center" vertical="center"/>
    </xf>
    <xf numFmtId="0" fontId="12" fillId="3" borderId="21" xfId="50" applyFont="1" applyFill="1" applyBorder="1" applyAlignment="1">
      <alignment horizontal="center" vertical="center"/>
    </xf>
    <xf numFmtId="0" fontId="11" fillId="0" borderId="0" xfId="50" applyFont="1" applyAlignment="1">
      <alignment vertical="center"/>
    </xf>
    <xf numFmtId="0" fontId="13" fillId="4" borderId="8" xfId="50" applyFont="1" applyFill="1" applyBorder="1" applyAlignment="1">
      <alignment horizontal="center" vertical="center"/>
    </xf>
    <xf numFmtId="0" fontId="14" fillId="4" borderId="8" xfId="50" applyFont="1" applyFill="1" applyBorder="1" applyAlignment="1">
      <alignment horizontal="center" vertical="center"/>
    </xf>
    <xf numFmtId="0" fontId="15" fillId="0" borderId="8" xfId="51" applyFont="1" applyBorder="1" applyAlignment="1">
      <alignment horizontal="center" vertical="center"/>
    </xf>
    <xf numFmtId="0" fontId="16" fillId="4" borderId="8" xfId="50" applyFont="1" applyFill="1" applyBorder="1" applyAlignment="1">
      <alignment horizontal="center" vertical="center" wrapText="1" readingOrder="1"/>
    </xf>
    <xf numFmtId="0" fontId="5" fillId="0" borderId="8" xfId="51" applyFont="1" applyBorder="1" applyAlignment="1">
      <alignment horizontal="center" vertical="center"/>
    </xf>
    <xf numFmtId="0" fontId="17" fillId="5" borderId="8" xfId="50" applyFont="1" applyFill="1" applyBorder="1" applyAlignment="1">
      <alignment horizontal="center" vertical="center" wrapText="1" readingOrder="1"/>
    </xf>
    <xf numFmtId="0" fontId="17" fillId="6" borderId="8" xfId="50" applyFont="1" applyFill="1" applyBorder="1" applyAlignment="1">
      <alignment horizontal="center" vertical="center" wrapText="1" readingOrder="1"/>
    </xf>
    <xf numFmtId="0" fontId="18" fillId="0" borderId="8" xfId="50" applyFont="1" applyBorder="1" applyAlignment="1">
      <alignment horizontal="center" vertical="center" wrapText="1" readingOrder="1"/>
    </xf>
    <xf numFmtId="0" fontId="18" fillId="0" borderId="8" xfId="50" applyFont="1" applyBorder="1" applyAlignment="1">
      <alignment vertical="center" wrapText="1" readingOrder="1"/>
    </xf>
    <xf numFmtId="0" fontId="17" fillId="7" borderId="8" xfId="50" applyFont="1" applyFill="1" applyBorder="1" applyAlignment="1">
      <alignment horizontal="center" vertical="center" wrapText="1" readingOrder="1"/>
    </xf>
    <xf numFmtId="0" fontId="17" fillId="8" borderId="8" xfId="50" applyFont="1" applyFill="1" applyBorder="1" applyAlignment="1">
      <alignment horizontal="center" vertical="center" wrapText="1" readingOrder="1"/>
    </xf>
    <xf numFmtId="0" fontId="1" fillId="0" borderId="0" xfId="50" applyFont="1" applyAlignment="1">
      <alignment vertical="center"/>
    </xf>
    <xf numFmtId="0" fontId="11" fillId="6" borderId="0" xfId="51" applyFont="1" applyFill="1" applyAlignment="1">
      <alignment horizontal="justify" vertical="center" wrapText="1"/>
    </xf>
    <xf numFmtId="0" fontId="3" fillId="6" borderId="0" xfId="51" applyFont="1" applyFill="1" applyAlignment="1">
      <alignment horizontal="center" vertical="center" wrapText="1" readingOrder="1"/>
    </xf>
    <xf numFmtId="0" fontId="19" fillId="7" borderId="0" xfId="50" applyFont="1" applyFill="1" applyAlignment="1">
      <alignment horizontal="center" vertical="center" wrapText="1" readingOrder="1"/>
    </xf>
    <xf numFmtId="0" fontId="19" fillId="9" borderId="0" xfId="50" applyFont="1" applyFill="1" applyAlignment="1">
      <alignment horizontal="center" vertical="center" wrapText="1" readingOrder="1"/>
    </xf>
    <xf numFmtId="176" fontId="19" fillId="5" borderId="0" xfId="50" applyNumberFormat="1" applyFont="1" applyFill="1" applyAlignment="1">
      <alignment horizontal="center" vertical="center" wrapText="1" readingOrder="1"/>
    </xf>
    <xf numFmtId="0" fontId="20" fillId="10" borderId="22" xfId="50" applyFont="1" applyFill="1" applyBorder="1" applyAlignment="1">
      <alignment horizontal="center" vertical="center" wrapText="1" readingOrder="1"/>
    </xf>
    <xf numFmtId="0" fontId="20" fillId="10" borderId="23" xfId="50" applyFont="1" applyFill="1" applyBorder="1" applyAlignment="1">
      <alignment horizontal="center" vertical="center" wrapText="1" readingOrder="1"/>
    </xf>
    <xf numFmtId="0" fontId="20" fillId="10" borderId="24" xfId="50" applyFont="1" applyFill="1" applyBorder="1" applyAlignment="1">
      <alignment horizontal="center" vertical="center" wrapText="1" readingOrder="1"/>
    </xf>
    <xf numFmtId="0" fontId="20" fillId="10" borderId="25" xfId="50" applyFont="1" applyFill="1" applyBorder="1" applyAlignment="1">
      <alignment horizontal="center" vertical="center" wrapText="1" readingOrder="1"/>
    </xf>
    <xf numFmtId="176" fontId="19" fillId="7" borderId="0" xfId="50" applyNumberFormat="1" applyFont="1" applyFill="1" applyAlignment="1">
      <alignment horizontal="center" vertical="center" wrapText="1" readingOrder="1"/>
    </xf>
    <xf numFmtId="176" fontId="19" fillId="9" borderId="0" xfId="50" applyNumberFormat="1" applyFont="1" applyFill="1" applyAlignment="1">
      <alignment horizontal="center" vertical="top" wrapText="1" readingOrder="1"/>
    </xf>
    <xf numFmtId="176" fontId="19" fillId="5" borderId="0" xfId="50" applyNumberFormat="1" applyFont="1" applyFill="1" applyAlignment="1">
      <alignment horizontal="center" vertical="top" wrapText="1" readingOrder="1"/>
    </xf>
    <xf numFmtId="0" fontId="20" fillId="10" borderId="26" xfId="50" applyFont="1" applyFill="1" applyBorder="1" applyAlignment="1">
      <alignment horizontal="center" vertical="center" wrapText="1" readingOrder="1"/>
    </xf>
    <xf numFmtId="0" fontId="20" fillId="10" borderId="6" xfId="50" applyFont="1" applyFill="1" applyBorder="1" applyAlignment="1">
      <alignment horizontal="center" vertical="center" wrapText="1" readingOrder="1"/>
    </xf>
    <xf numFmtId="0" fontId="20" fillId="10" borderId="27" xfId="50" applyFont="1" applyFill="1" applyBorder="1" applyAlignment="1">
      <alignment horizontal="center" vertical="center" wrapText="1" readingOrder="1"/>
    </xf>
    <xf numFmtId="0" fontId="20" fillId="10" borderId="28" xfId="50" applyFont="1" applyFill="1" applyBorder="1" applyAlignment="1">
      <alignment horizontal="center" vertical="center" wrapText="1" readingOrder="1"/>
    </xf>
    <xf numFmtId="9" fontId="19" fillId="9" borderId="0" xfId="52" applyFont="1" applyFill="1" applyAlignment="1">
      <alignment horizontal="center" vertical="top" wrapText="1" readingOrder="1"/>
    </xf>
    <xf numFmtId="9" fontId="19" fillId="5" borderId="0" xfId="52" applyFont="1" applyFill="1" applyAlignment="1">
      <alignment horizontal="center" vertical="top" wrapText="1" readingOrder="1"/>
    </xf>
    <xf numFmtId="177" fontId="21" fillId="0" borderId="29" xfId="50" applyNumberFormat="1" applyFont="1" applyBorder="1" applyAlignment="1">
      <alignment horizontal="center" vertical="center" wrapText="1" readingOrder="1"/>
    </xf>
    <xf numFmtId="0" fontId="21" fillId="0" borderId="1" xfId="50" applyFont="1" applyBorder="1" applyAlignment="1">
      <alignment horizontal="center" vertical="center" wrapText="1" readingOrder="1"/>
    </xf>
    <xf numFmtId="0" fontId="4" fillId="0" borderId="1" xfId="50" applyFont="1" applyBorder="1" applyAlignment="1">
      <alignment horizontal="left" vertical="top" wrapText="1" readingOrder="1"/>
    </xf>
    <xf numFmtId="0" fontId="4" fillId="0" borderId="27" xfId="50" applyFont="1" applyBorder="1" applyAlignment="1">
      <alignment horizontal="left" vertical="top" wrapText="1" readingOrder="1"/>
    </xf>
    <xf numFmtId="0" fontId="19" fillId="6" borderId="0" xfId="51" applyFont="1" applyFill="1" applyAlignment="1">
      <alignment horizontal="right" vertical="top" wrapText="1" readingOrder="1"/>
    </xf>
    <xf numFmtId="176" fontId="19" fillId="7" borderId="0" xfId="50" applyNumberFormat="1" applyFont="1" applyFill="1" applyAlignment="1">
      <alignment horizontal="center" vertical="top" wrapText="1" readingOrder="1"/>
    </xf>
    <xf numFmtId="176" fontId="19" fillId="10" borderId="0" xfId="50" applyNumberFormat="1" applyFont="1" applyFill="1" applyAlignment="1">
      <alignment horizontal="center" vertical="top" wrapText="1" readingOrder="1"/>
    </xf>
    <xf numFmtId="9" fontId="19" fillId="7" borderId="0" xfId="52" applyFont="1" applyFill="1" applyAlignment="1">
      <alignment horizontal="center" vertical="top" wrapText="1" readingOrder="1"/>
    </xf>
    <xf numFmtId="176" fontId="22" fillId="7" borderId="0" xfId="50" applyNumberFormat="1" applyFont="1" applyFill="1" applyAlignment="1">
      <alignment horizontal="center" vertical="top" wrapText="1"/>
    </xf>
    <xf numFmtId="9" fontId="19" fillId="10" borderId="0" xfId="52" applyFont="1" applyFill="1" applyAlignment="1">
      <alignment horizontal="center" vertical="top" wrapText="1" readingOrder="1"/>
    </xf>
    <xf numFmtId="0" fontId="3" fillId="0" borderId="0" xfId="51" applyFont="1" applyAlignment="1">
      <alignment horizontal="center" vertical="center" wrapText="1" readingOrder="1"/>
    </xf>
    <xf numFmtId="176" fontId="19" fillId="8" borderId="0" xfId="50" applyNumberFormat="1" applyFont="1" applyFill="1" applyAlignment="1">
      <alignment horizontal="center" vertical="center" wrapText="1" readingOrder="1"/>
    </xf>
    <xf numFmtId="176" fontId="23" fillId="11" borderId="0" xfId="51" applyNumberFormat="1" applyFont="1" applyFill="1" applyAlignment="1">
      <alignment horizontal="center" vertical="center"/>
    </xf>
    <xf numFmtId="176" fontId="19" fillId="11" borderId="0" xfId="50" applyNumberFormat="1" applyFont="1" applyFill="1" applyAlignment="1">
      <alignment horizontal="center" vertical="center" wrapText="1" readingOrder="1"/>
    </xf>
    <xf numFmtId="177" fontId="21" fillId="0" borderId="30" xfId="50" applyNumberFormat="1" applyFont="1" applyBorder="1" applyAlignment="1">
      <alignment horizontal="center" vertical="center" wrapText="1" readingOrder="1"/>
    </xf>
    <xf numFmtId="0" fontId="21" fillId="0" borderId="31" xfId="50" applyFont="1" applyBorder="1" applyAlignment="1">
      <alignment horizontal="center" vertical="center" wrapText="1" readingOrder="1"/>
    </xf>
    <xf numFmtId="0" fontId="4" fillId="0" borderId="31" xfId="50" applyFont="1" applyBorder="1" applyAlignment="1">
      <alignment horizontal="left" vertical="top" wrapText="1" readingOrder="1"/>
    </xf>
    <xf numFmtId="0" fontId="4" fillId="0" borderId="32" xfId="50" applyFont="1" applyBorder="1" applyAlignment="1">
      <alignment horizontal="left" vertical="top" wrapText="1" readingOrder="1"/>
    </xf>
    <xf numFmtId="9" fontId="19" fillId="8" borderId="0" xfId="52" applyFont="1" applyFill="1" applyAlignment="1">
      <alignment horizontal="center" vertical="center" wrapText="1" readingOrder="1"/>
    </xf>
    <xf numFmtId="9" fontId="19" fillId="11" borderId="0" xfId="52" applyFont="1" applyFill="1" applyAlignment="1">
      <alignment horizontal="center" vertical="center" wrapText="1" readingOrder="1"/>
    </xf>
    <xf numFmtId="0" fontId="11" fillId="0" borderId="0" xfId="51" applyFont="1" applyAlignment="1">
      <alignment horizontal="justify" vertical="center" wrapText="1"/>
    </xf>
    <xf numFmtId="0" fontId="19" fillId="6" borderId="0" xfId="51" applyFont="1" applyFill="1" applyAlignment="1">
      <alignment horizontal="center" vertical="center" wrapText="1" readingOrder="1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6" borderId="0" xfId="0" applyFont="1" applyFill="1" applyAlignment="1">
      <alignment vertical="center"/>
    </xf>
    <xf numFmtId="178" fontId="24" fillId="0" borderId="0" xfId="0" applyNumberFormat="1" applyFont="1">
      <alignment vertical="center"/>
    </xf>
    <xf numFmtId="0" fontId="25" fillId="2" borderId="8" xfId="0" applyFont="1" applyFill="1" applyBorder="1" applyAlignment="1">
      <alignment horizontal="center" vertical="center" wrapText="1"/>
    </xf>
    <xf numFmtId="178" fontId="25" fillId="2" borderId="8" xfId="0" applyNumberFormat="1" applyFont="1" applyFill="1" applyBorder="1" applyAlignment="1">
      <alignment horizontal="center" vertical="center" wrapText="1"/>
    </xf>
    <xf numFmtId="49" fontId="26" fillId="0" borderId="8" xfId="49" applyNumberFormat="1" applyFont="1" applyFill="1" applyBorder="1" applyAlignment="1">
      <alignment horizontal="center" vertical="center" wrapText="1"/>
    </xf>
    <xf numFmtId="0" fontId="27" fillId="0" borderId="8" xfId="0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/>
    </xf>
    <xf numFmtId="49" fontId="27" fillId="0" borderId="8" xfId="0" applyNumberFormat="1" applyFont="1" applyFill="1" applyBorder="1" applyAlignment="1">
      <alignment horizontal="center" vertical="center" wrapText="1"/>
    </xf>
    <xf numFmtId="49" fontId="26" fillId="0" borderId="8" xfId="0" applyNumberFormat="1" applyFont="1" applyFill="1" applyBorder="1" applyAlignment="1">
      <alignment horizontal="center" vertical="center" wrapText="1"/>
    </xf>
    <xf numFmtId="14" fontId="28" fillId="0" borderId="8" xfId="0" applyNumberFormat="1" applyFont="1" applyFill="1" applyBorder="1" applyAlignment="1">
      <alignment horizontal="center" vertical="center" wrapText="1"/>
    </xf>
    <xf numFmtId="0" fontId="26" fillId="0" borderId="8" xfId="0" applyNumberFormat="1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178" fontId="24" fillId="0" borderId="8" xfId="0" applyNumberFormat="1" applyFont="1" applyBorder="1" applyAlignment="1">
      <alignment horizontal="center" vertical="center"/>
    </xf>
    <xf numFmtId="0" fontId="22" fillId="0" borderId="8" xfId="55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14" fontId="26" fillId="0" borderId="8" xfId="0" applyNumberFormat="1" applyFont="1" applyFill="1" applyBorder="1" applyAlignment="1">
      <alignment horizontal="center" vertical="center" wrapText="1"/>
    </xf>
    <xf numFmtId="14" fontId="24" fillId="0" borderId="8" xfId="0" applyNumberFormat="1" applyFont="1" applyFill="1" applyBorder="1" applyAlignment="1">
      <alignment horizontal="center" vertical="center"/>
    </xf>
    <xf numFmtId="0" fontId="22" fillId="0" borderId="8" xfId="55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 wrapText="1"/>
    </xf>
    <xf numFmtId="0" fontId="23" fillId="12" borderId="8" xfId="54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/>
    </xf>
    <xf numFmtId="9" fontId="22" fillId="0" borderId="8" xfId="3" applyFont="1" applyBorder="1" applyAlignment="1">
      <alignment horizontal="center" vertical="center"/>
    </xf>
    <xf numFmtId="0" fontId="29" fillId="0" borderId="8" xfId="55" applyFont="1" applyBorder="1" applyAlignment="1">
      <alignment horizontal="center" vertical="center"/>
    </xf>
    <xf numFmtId="14" fontId="28" fillId="0" borderId="8" xfId="0" applyNumberFormat="1" applyFont="1" applyFill="1" applyBorder="1" applyAlignment="1" quotePrefix="1">
      <alignment horizontal="center" vertical="center" wrapText="1"/>
    </xf>
    <xf numFmtId="14" fontId="26" fillId="0" borderId="8" xfId="0" applyNumberFormat="1" applyFont="1" applyFill="1" applyBorder="1" applyAlignment="1" quotePrefix="1">
      <alignment horizontal="center" vertical="center" wrapText="1"/>
    </xf>
    <xf numFmtId="14" fontId="24" fillId="0" borderId="8" xfId="0" applyNumberFormat="1" applyFont="1" applyFill="1" applyBorder="1" applyAlignment="1" quotePrefix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  <cellStyle name="常规 4" xfId="50"/>
    <cellStyle name="常规 2 2 3 2 3" xfId="51"/>
    <cellStyle name="百分比 3" xfId="52"/>
    <cellStyle name="常规 2 3" xfId="53"/>
    <cellStyle name="常规 2 2 3 2" xfId="54"/>
    <cellStyle name="常规 2" xfId="55"/>
  </cellStyles>
  <dxfs count="30">
    <dxf>
      <fill>
        <patternFill patternType="solid">
          <bgColor rgb="FFFF0000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8"/>
  <sheetViews>
    <sheetView tabSelected="1" zoomScale="70" zoomScaleNormal="70" workbookViewId="0">
      <pane xSplit="4" topLeftCell="E1" activePane="topRight" state="frozen"/>
      <selection/>
      <selection pane="topRight" activeCell="E4" sqref="E4"/>
    </sheetView>
  </sheetViews>
  <sheetFormatPr defaultColWidth="20.6923076923077" defaultRowHeight="20.4"/>
  <cols>
    <col min="1" max="12" width="20.6923076923077" style="94" customWidth="1"/>
    <col min="13" max="13" width="20.6923076923077" style="95" customWidth="1"/>
    <col min="14" max="14" width="20.6923076923077" style="94" customWidth="1"/>
    <col min="15" max="15" width="20.6923076923077" style="96" customWidth="1"/>
    <col min="16" max="16" width="20.6923076923077" style="94" customWidth="1"/>
    <col min="17" max="27" width="20.6923076923077" style="95" customWidth="1"/>
    <col min="28" max="29" width="20.6923076923077" style="94" customWidth="1"/>
    <col min="30" max="30" width="37.9230769230769" style="94" customWidth="1"/>
    <col min="31" max="31" width="33.3846153846154" style="94" customWidth="1"/>
    <col min="32" max="32" width="55.3076923076923" style="94" customWidth="1"/>
    <col min="33" max="33" width="28.0769230769231" style="94" customWidth="1"/>
    <col min="34" max="16381" width="20.6923076923077" style="94" customWidth="1"/>
    <col min="16382" max="16384" width="20.6923076923077" style="94"/>
  </cols>
  <sheetData>
    <row r="1" s="93" customFormat="1" ht="41" spans="1:37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7" t="s">
        <v>6</v>
      </c>
      <c r="L1" s="97" t="s">
        <v>7</v>
      </c>
      <c r="M1" s="97" t="s">
        <v>10</v>
      </c>
      <c r="N1" s="97" t="s">
        <v>11</v>
      </c>
      <c r="O1" s="97" t="s">
        <v>12</v>
      </c>
      <c r="P1" s="97" t="s">
        <v>13</v>
      </c>
      <c r="Q1" s="97" t="s">
        <v>14</v>
      </c>
      <c r="R1" s="97" t="s">
        <v>15</v>
      </c>
      <c r="S1" s="97" t="s">
        <v>16</v>
      </c>
      <c r="T1" s="97" t="s">
        <v>17</v>
      </c>
      <c r="U1" s="97" t="s">
        <v>18</v>
      </c>
      <c r="V1" s="98" t="s">
        <v>19</v>
      </c>
      <c r="W1" s="98" t="s">
        <v>20</v>
      </c>
      <c r="X1" s="98" t="s">
        <v>21</v>
      </c>
      <c r="Y1" s="98" t="s">
        <v>22</v>
      </c>
      <c r="Z1" s="98" t="s">
        <v>23</v>
      </c>
      <c r="AA1" s="98" t="s">
        <v>24</v>
      </c>
      <c r="AB1" s="98" t="s">
        <v>25</v>
      </c>
      <c r="AC1" s="98" t="s">
        <v>26</v>
      </c>
      <c r="AD1" s="98" t="s">
        <v>27</v>
      </c>
      <c r="AE1" s="98" t="s">
        <v>28</v>
      </c>
      <c r="AF1" s="98" t="s">
        <v>29</v>
      </c>
      <c r="AG1" s="98" t="s">
        <v>30</v>
      </c>
      <c r="AH1" s="98" t="s">
        <v>31</v>
      </c>
      <c r="AI1" s="98" t="s">
        <v>32</v>
      </c>
      <c r="AJ1" s="98" t="s">
        <v>33</v>
      </c>
      <c r="AK1" s="98" t="s">
        <v>34</v>
      </c>
    </row>
    <row r="2" s="93" customFormat="1" ht="50" customHeight="1" spans="1:37">
      <c r="A2" s="99" t="s">
        <v>35</v>
      </c>
      <c r="B2" s="100" t="s">
        <v>36</v>
      </c>
      <c r="C2" s="101">
        <f ca="1">YEAR(NOW())-_xlfn.NUMBERVALUE(LEFT(E2,4))</f>
        <v>31</v>
      </c>
      <c r="D2" s="101">
        <f ca="1" t="shared" ref="D2:D12" si="0">YEAR(NOW())-_xlfn.NUMBERVALUE(LEFT(I2,4))</f>
        <v>9</v>
      </c>
      <c r="E2" s="102" t="s">
        <v>37</v>
      </c>
      <c r="F2" s="102" t="s">
        <v>38</v>
      </c>
      <c r="G2" s="103" t="s">
        <v>39</v>
      </c>
      <c r="H2" s="103" t="s">
        <v>40</v>
      </c>
      <c r="I2" s="118" t="s">
        <v>41</v>
      </c>
      <c r="J2" s="102" t="s">
        <v>42</v>
      </c>
      <c r="K2" s="103" t="s">
        <v>39</v>
      </c>
      <c r="L2" s="105" t="s">
        <v>43</v>
      </c>
      <c r="M2" s="106">
        <v>3</v>
      </c>
      <c r="N2" s="106">
        <v>3</v>
      </c>
      <c r="O2" s="106">
        <v>2</v>
      </c>
      <c r="P2" s="106">
        <v>3</v>
      </c>
      <c r="Q2" s="106">
        <f>AVERAGE(M2:P2)</f>
        <v>2.75</v>
      </c>
      <c r="R2" s="106" t="str">
        <f>IF(Q2&gt;=4.75,"高",IF(Q2&lt;=2.5,"低","中"))</f>
        <v>中</v>
      </c>
      <c r="S2" s="106">
        <v>2</v>
      </c>
      <c r="T2" s="106">
        <v>3</v>
      </c>
      <c r="U2" s="106">
        <v>3</v>
      </c>
      <c r="V2" s="107">
        <f>AVERAGE(S2:U2)</f>
        <v>2.66666666666667</v>
      </c>
      <c r="W2" s="106" t="str">
        <f>IF(V2&gt;=4.75,"高",IF(V2&lt;=2.5,"低","中"))</f>
        <v>中</v>
      </c>
      <c r="X2" s="108">
        <f>VLOOKUP(R2&amp;W2,红绿灯对照表!$C$2:$D$11,2,0)</f>
        <v>2</v>
      </c>
      <c r="Y2" s="109">
        <v>1</v>
      </c>
      <c r="Z2" s="109">
        <v>1</v>
      </c>
      <c r="AA2" s="109">
        <v>2</v>
      </c>
      <c r="AB2" s="106">
        <f>SUM(Y2:AA2)</f>
        <v>4</v>
      </c>
      <c r="AC2" s="106" t="str">
        <f>IF(AB2&gt;8,"高",IF(AB2&lt;6,"低","中"))</f>
        <v>低</v>
      </c>
      <c r="AD2" s="106" t="s">
        <v>44</v>
      </c>
      <c r="AE2" s="106" t="s">
        <v>45</v>
      </c>
      <c r="AF2" s="106" t="s">
        <v>46</v>
      </c>
      <c r="AG2" s="106" t="s">
        <v>47</v>
      </c>
      <c r="AH2" s="106" t="s">
        <v>48</v>
      </c>
      <c r="AI2" s="106" t="s">
        <v>49</v>
      </c>
      <c r="AJ2" s="106" t="s">
        <v>50</v>
      </c>
      <c r="AK2" s="106" t="s">
        <v>51</v>
      </c>
    </row>
    <row r="3" s="93" customFormat="1" ht="50" customHeight="1" spans="1:37">
      <c r="A3" s="99" t="s">
        <v>52</v>
      </c>
      <c r="B3" s="100" t="s">
        <v>36</v>
      </c>
      <c r="C3" s="101">
        <f ca="1" t="shared" ref="C3:C12" si="1">YEAR(NOW())-_xlfn.NUMBERVALUE(LEFT(E3,4))</f>
        <v>25</v>
      </c>
      <c r="D3" s="101">
        <f ca="1" t="shared" si="0"/>
        <v>5</v>
      </c>
      <c r="E3" s="102" t="s">
        <v>53</v>
      </c>
      <c r="F3" s="102" t="s">
        <v>54</v>
      </c>
      <c r="G3" s="103" t="s">
        <v>55</v>
      </c>
      <c r="H3" s="103" t="s">
        <v>56</v>
      </c>
      <c r="I3" s="119" t="s">
        <v>57</v>
      </c>
      <c r="J3" s="102"/>
      <c r="K3" s="103"/>
      <c r="L3" s="105"/>
      <c r="M3" s="106">
        <v>5</v>
      </c>
      <c r="N3" s="106">
        <v>5</v>
      </c>
      <c r="O3" s="106">
        <v>5</v>
      </c>
      <c r="P3" s="106">
        <v>3</v>
      </c>
      <c r="Q3" s="106">
        <f t="shared" ref="Q3:Q12" si="2">AVERAGE(M3:P3)</f>
        <v>4.5</v>
      </c>
      <c r="R3" s="106" t="str">
        <f t="shared" ref="R3:R12" si="3">IF(Q3&gt;=4.75,"高",IF(Q3&lt;=2.5,"低","中"))</f>
        <v>中</v>
      </c>
      <c r="S3" s="106">
        <v>4</v>
      </c>
      <c r="T3" s="106">
        <v>5</v>
      </c>
      <c r="U3" s="106">
        <v>4</v>
      </c>
      <c r="V3" s="107">
        <f t="shared" ref="V3:V12" si="4">AVERAGE(S3:U3)</f>
        <v>4.33333333333333</v>
      </c>
      <c r="W3" s="106" t="str">
        <f t="shared" ref="W3:W12" si="5">IF(V3&gt;=4.75,"高",IF(V3&lt;=2.5,"低","中"))</f>
        <v>中</v>
      </c>
      <c r="X3" s="108">
        <f>VLOOKUP(R3&amp;W3,红绿灯对照表!$C$2:$D$11,2,0)</f>
        <v>2</v>
      </c>
      <c r="Y3" s="109">
        <v>2</v>
      </c>
      <c r="Z3" s="109">
        <v>1</v>
      </c>
      <c r="AA3" s="109">
        <v>3</v>
      </c>
      <c r="AB3" s="106">
        <f t="shared" ref="AB3:AB12" si="6">SUM(Y3:AA3)</f>
        <v>6</v>
      </c>
      <c r="AC3" s="106" t="str">
        <f t="shared" ref="AC3:AC12" si="7">IF(AB3&gt;8,"高",IF(AB3&lt;6,"低","中"))</f>
        <v>中</v>
      </c>
      <c r="AD3" s="106" t="s">
        <v>58</v>
      </c>
      <c r="AE3" s="106" t="s">
        <v>59</v>
      </c>
      <c r="AF3" s="106" t="s">
        <v>60</v>
      </c>
      <c r="AG3" s="106" t="s">
        <v>61</v>
      </c>
      <c r="AH3" s="106" t="s">
        <v>49</v>
      </c>
      <c r="AI3" s="106" t="s">
        <v>62</v>
      </c>
      <c r="AJ3" s="106" t="s">
        <v>50</v>
      </c>
      <c r="AK3" s="106" t="s">
        <v>63</v>
      </c>
    </row>
    <row r="4" s="93" customFormat="1" ht="50" customHeight="1" spans="1:37">
      <c r="A4" s="99" t="s">
        <v>51</v>
      </c>
      <c r="B4" s="100" t="s">
        <v>36</v>
      </c>
      <c r="C4" s="101">
        <f ca="1" t="shared" si="1"/>
        <v>36</v>
      </c>
      <c r="D4" s="101">
        <f ca="1" t="shared" si="0"/>
        <v>13</v>
      </c>
      <c r="E4" s="102" t="s">
        <v>64</v>
      </c>
      <c r="F4" s="102" t="s">
        <v>38</v>
      </c>
      <c r="G4" s="103" t="s">
        <v>65</v>
      </c>
      <c r="H4" s="103" t="s">
        <v>66</v>
      </c>
      <c r="I4" s="120" t="s">
        <v>67</v>
      </c>
      <c r="J4" s="102"/>
      <c r="K4" s="103"/>
      <c r="L4" s="105"/>
      <c r="M4" s="106">
        <v>5</v>
      </c>
      <c r="N4" s="106">
        <v>7</v>
      </c>
      <c r="O4" s="106">
        <v>6</v>
      </c>
      <c r="P4" s="106">
        <v>6</v>
      </c>
      <c r="Q4" s="106">
        <f t="shared" si="2"/>
        <v>6</v>
      </c>
      <c r="R4" s="106" t="str">
        <f t="shared" si="3"/>
        <v>高</v>
      </c>
      <c r="S4" s="106">
        <v>5</v>
      </c>
      <c r="T4" s="106">
        <v>6</v>
      </c>
      <c r="U4" s="106">
        <v>6</v>
      </c>
      <c r="V4" s="107">
        <f t="shared" si="4"/>
        <v>5.66666666666667</v>
      </c>
      <c r="W4" s="106" t="str">
        <f t="shared" si="5"/>
        <v>高</v>
      </c>
      <c r="X4" s="112">
        <f>VLOOKUP(R4&amp;W4,红绿灯对照表!$C$2:$D$11,2,0)</f>
        <v>1</v>
      </c>
      <c r="Y4" s="109">
        <v>3</v>
      </c>
      <c r="Z4" s="109">
        <v>3</v>
      </c>
      <c r="AA4" s="109">
        <v>3</v>
      </c>
      <c r="AB4" s="106">
        <f t="shared" si="6"/>
        <v>9</v>
      </c>
      <c r="AC4" s="106" t="str">
        <f t="shared" si="7"/>
        <v>高</v>
      </c>
      <c r="AD4" s="106" t="s">
        <v>68</v>
      </c>
      <c r="AE4" s="106" t="s">
        <v>69</v>
      </c>
      <c r="AF4" s="106" t="s">
        <v>70</v>
      </c>
      <c r="AG4" s="106" t="s">
        <v>61</v>
      </c>
      <c r="AH4" s="106" t="s">
        <v>49</v>
      </c>
      <c r="AI4" s="106" t="s">
        <v>48</v>
      </c>
      <c r="AJ4" s="106" t="s">
        <v>71</v>
      </c>
      <c r="AK4" s="106" t="s">
        <v>72</v>
      </c>
    </row>
    <row r="5" s="93" customFormat="1" ht="50" customHeight="1" spans="1:37">
      <c r="A5" s="99" t="s">
        <v>73</v>
      </c>
      <c r="B5" s="100" t="s">
        <v>74</v>
      </c>
      <c r="C5" s="101">
        <f ca="1" t="shared" si="1"/>
        <v>36</v>
      </c>
      <c r="D5" s="101">
        <f ca="1" t="shared" si="0"/>
        <v>8</v>
      </c>
      <c r="E5" s="102" t="s">
        <v>75</v>
      </c>
      <c r="F5" s="102" t="s">
        <v>76</v>
      </c>
      <c r="G5" s="103" t="s">
        <v>77</v>
      </c>
      <c r="H5" s="103"/>
      <c r="I5" s="119" t="s">
        <v>78</v>
      </c>
      <c r="J5" s="102"/>
      <c r="K5" s="103"/>
      <c r="L5" s="105"/>
      <c r="M5" s="106">
        <v>4</v>
      </c>
      <c r="N5" s="106">
        <v>5</v>
      </c>
      <c r="O5" s="106">
        <v>4</v>
      </c>
      <c r="P5" s="106">
        <v>5</v>
      </c>
      <c r="Q5" s="106">
        <f t="shared" si="2"/>
        <v>4.5</v>
      </c>
      <c r="R5" s="106" t="str">
        <f t="shared" si="3"/>
        <v>中</v>
      </c>
      <c r="S5" s="106">
        <v>4</v>
      </c>
      <c r="T5" s="106">
        <v>6</v>
      </c>
      <c r="U5" s="106">
        <v>5</v>
      </c>
      <c r="V5" s="107">
        <f t="shared" si="4"/>
        <v>5</v>
      </c>
      <c r="W5" s="106" t="str">
        <f t="shared" si="5"/>
        <v>高</v>
      </c>
      <c r="X5" s="112" t="str">
        <f>VLOOKUP(R5&amp;W5,红绿灯对照表!$C$2:$D$11,2,0)</f>
        <v>2+</v>
      </c>
      <c r="Y5" s="109">
        <v>3</v>
      </c>
      <c r="Z5" s="109">
        <v>2</v>
      </c>
      <c r="AA5" s="109">
        <v>3</v>
      </c>
      <c r="AB5" s="106">
        <f t="shared" si="6"/>
        <v>8</v>
      </c>
      <c r="AC5" s="106" t="str">
        <f t="shared" si="7"/>
        <v>中</v>
      </c>
      <c r="AD5" s="106" t="s">
        <v>79</v>
      </c>
      <c r="AE5" s="106" t="s">
        <v>80</v>
      </c>
      <c r="AF5" s="106" t="s">
        <v>81</v>
      </c>
      <c r="AG5" s="106" t="s">
        <v>82</v>
      </c>
      <c r="AH5" s="106" t="s">
        <v>49</v>
      </c>
      <c r="AI5" s="106" t="s">
        <v>62</v>
      </c>
      <c r="AJ5" s="106" t="s">
        <v>71</v>
      </c>
      <c r="AK5" s="106" t="s">
        <v>83</v>
      </c>
    </row>
    <row r="6" s="93" customFormat="1" ht="50" customHeight="1" spans="1:37">
      <c r="A6" s="99" t="s">
        <v>84</v>
      </c>
      <c r="B6" s="100" t="s">
        <v>74</v>
      </c>
      <c r="C6" s="101">
        <f ca="1" t="shared" si="1"/>
        <v>32</v>
      </c>
      <c r="D6" s="101">
        <f ca="1" t="shared" si="0"/>
        <v>9</v>
      </c>
      <c r="E6" s="102" t="s">
        <v>85</v>
      </c>
      <c r="F6" s="102" t="s">
        <v>54</v>
      </c>
      <c r="G6" s="103" t="s">
        <v>86</v>
      </c>
      <c r="H6" s="103" t="s">
        <v>87</v>
      </c>
      <c r="I6" s="119" t="s">
        <v>41</v>
      </c>
      <c r="J6" s="102" t="s">
        <v>38</v>
      </c>
      <c r="K6" s="103" t="s">
        <v>86</v>
      </c>
      <c r="L6" s="105" t="s">
        <v>88</v>
      </c>
      <c r="M6" s="106">
        <v>3</v>
      </c>
      <c r="N6" s="106">
        <v>2</v>
      </c>
      <c r="O6" s="106">
        <v>2</v>
      </c>
      <c r="P6" s="106">
        <v>1</v>
      </c>
      <c r="Q6" s="106">
        <f t="shared" si="2"/>
        <v>2</v>
      </c>
      <c r="R6" s="106" t="str">
        <f t="shared" si="3"/>
        <v>低</v>
      </c>
      <c r="S6" s="106">
        <v>3</v>
      </c>
      <c r="T6" s="106">
        <v>4</v>
      </c>
      <c r="U6" s="106">
        <v>2</v>
      </c>
      <c r="V6" s="107">
        <f t="shared" si="4"/>
        <v>3</v>
      </c>
      <c r="W6" s="106" t="str">
        <f t="shared" si="5"/>
        <v>中</v>
      </c>
      <c r="X6" s="112">
        <f>VLOOKUP(R6&amp;W6,红绿灯对照表!$C$2:$D$11,2,0)</f>
        <v>4</v>
      </c>
      <c r="Y6" s="109">
        <v>1</v>
      </c>
      <c r="Z6" s="109">
        <v>1</v>
      </c>
      <c r="AA6" s="109">
        <v>2</v>
      </c>
      <c r="AB6" s="106">
        <f t="shared" si="6"/>
        <v>4</v>
      </c>
      <c r="AC6" s="106" t="str">
        <f t="shared" si="7"/>
        <v>低</v>
      </c>
      <c r="AD6" s="106" t="s">
        <v>89</v>
      </c>
      <c r="AE6" s="106" t="s">
        <v>90</v>
      </c>
      <c r="AF6" s="106" t="s">
        <v>91</v>
      </c>
      <c r="AG6" s="106" t="s">
        <v>92</v>
      </c>
      <c r="AH6" s="106" t="s">
        <v>49</v>
      </c>
      <c r="AI6" s="106" t="s">
        <v>49</v>
      </c>
      <c r="AJ6" s="106" t="s">
        <v>50</v>
      </c>
      <c r="AK6" s="106" t="s">
        <v>73</v>
      </c>
    </row>
    <row r="7" s="93" customFormat="1" ht="50" customHeight="1" spans="1:37">
      <c r="A7" s="99" t="s">
        <v>93</v>
      </c>
      <c r="B7" s="100" t="s">
        <v>94</v>
      </c>
      <c r="C7" s="101">
        <f ca="1" t="shared" si="1"/>
        <v>30</v>
      </c>
      <c r="D7" s="101">
        <f ca="1" t="shared" si="0"/>
        <v>8</v>
      </c>
      <c r="E7" s="102" t="s">
        <v>95</v>
      </c>
      <c r="F7" s="102" t="s">
        <v>38</v>
      </c>
      <c r="G7" s="103" t="s">
        <v>96</v>
      </c>
      <c r="H7" s="103" t="s">
        <v>97</v>
      </c>
      <c r="I7" s="119" t="s">
        <v>98</v>
      </c>
      <c r="J7" s="102"/>
      <c r="K7" s="103"/>
      <c r="L7" s="105"/>
      <c r="M7" s="106">
        <v>4</v>
      </c>
      <c r="N7" s="106">
        <v>4</v>
      </c>
      <c r="O7" s="106">
        <v>3</v>
      </c>
      <c r="P7" s="106">
        <v>3</v>
      </c>
      <c r="Q7" s="106">
        <f t="shared" si="2"/>
        <v>3.5</v>
      </c>
      <c r="R7" s="106" t="str">
        <f t="shared" si="3"/>
        <v>中</v>
      </c>
      <c r="S7" s="106">
        <v>4</v>
      </c>
      <c r="T7" s="106">
        <v>4</v>
      </c>
      <c r="U7" s="106">
        <v>3</v>
      </c>
      <c r="V7" s="107">
        <f t="shared" si="4"/>
        <v>3.66666666666667</v>
      </c>
      <c r="W7" s="106" t="str">
        <f t="shared" si="5"/>
        <v>中</v>
      </c>
      <c r="X7" s="108">
        <f>VLOOKUP(R7&amp;W7,红绿灯对照表!$C$2:$D$11,2,0)</f>
        <v>2</v>
      </c>
      <c r="Y7" s="109">
        <v>3</v>
      </c>
      <c r="Z7" s="109">
        <v>1</v>
      </c>
      <c r="AA7" s="109">
        <v>3</v>
      </c>
      <c r="AB7" s="106">
        <f t="shared" si="6"/>
        <v>7</v>
      </c>
      <c r="AC7" s="106" t="str">
        <f t="shared" si="7"/>
        <v>中</v>
      </c>
      <c r="AD7" s="106" t="s">
        <v>99</v>
      </c>
      <c r="AE7" s="106" t="s">
        <v>100</v>
      </c>
      <c r="AF7" s="106" t="s">
        <v>101</v>
      </c>
      <c r="AG7" s="106" t="s">
        <v>47</v>
      </c>
      <c r="AH7" s="106" t="s">
        <v>49</v>
      </c>
      <c r="AI7" s="106" t="s">
        <v>49</v>
      </c>
      <c r="AJ7" s="106" t="s">
        <v>50</v>
      </c>
      <c r="AK7" s="106" t="s">
        <v>102</v>
      </c>
    </row>
    <row r="8" s="93" customFormat="1" ht="50" customHeight="1" spans="1:37">
      <c r="A8" s="99" t="s">
        <v>103</v>
      </c>
      <c r="B8" s="100" t="s">
        <v>94</v>
      </c>
      <c r="C8" s="101">
        <f ca="1" t="shared" si="1"/>
        <v>27</v>
      </c>
      <c r="D8" s="101">
        <f ca="1" t="shared" si="0"/>
        <v>5</v>
      </c>
      <c r="E8" s="102" t="s">
        <v>104</v>
      </c>
      <c r="F8" s="102" t="s">
        <v>38</v>
      </c>
      <c r="G8" s="103" t="s">
        <v>105</v>
      </c>
      <c r="H8" s="103" t="s">
        <v>56</v>
      </c>
      <c r="I8" s="119" t="s">
        <v>106</v>
      </c>
      <c r="J8" s="102"/>
      <c r="K8" s="103"/>
      <c r="L8" s="105"/>
      <c r="M8" s="106">
        <v>3</v>
      </c>
      <c r="N8" s="106">
        <v>3</v>
      </c>
      <c r="O8" s="106">
        <v>1</v>
      </c>
      <c r="P8" s="106">
        <v>1</v>
      </c>
      <c r="Q8" s="106">
        <f t="shared" si="2"/>
        <v>2</v>
      </c>
      <c r="R8" s="106" t="str">
        <f t="shared" si="3"/>
        <v>低</v>
      </c>
      <c r="S8" s="106">
        <v>2</v>
      </c>
      <c r="T8" s="106">
        <v>4</v>
      </c>
      <c r="U8" s="106">
        <v>3</v>
      </c>
      <c r="V8" s="107">
        <f t="shared" si="4"/>
        <v>3</v>
      </c>
      <c r="W8" s="106" t="str">
        <f t="shared" si="5"/>
        <v>中</v>
      </c>
      <c r="X8" s="112">
        <f>VLOOKUP(R8&amp;W8,红绿灯对照表!$C$2:$D$11,2,0)</f>
        <v>4</v>
      </c>
      <c r="Y8" s="109">
        <v>1</v>
      </c>
      <c r="Z8" s="109">
        <v>1</v>
      </c>
      <c r="AA8" s="109">
        <v>2</v>
      </c>
      <c r="AB8" s="106">
        <f t="shared" si="6"/>
        <v>4</v>
      </c>
      <c r="AC8" s="106" t="str">
        <f t="shared" si="7"/>
        <v>低</v>
      </c>
      <c r="AD8" s="106" t="s">
        <v>89</v>
      </c>
      <c r="AE8" s="106" t="s">
        <v>107</v>
      </c>
      <c r="AF8" s="106" t="s">
        <v>108</v>
      </c>
      <c r="AG8" s="106" t="s">
        <v>92</v>
      </c>
      <c r="AH8" s="106" t="s">
        <v>49</v>
      </c>
      <c r="AI8" s="106" t="s">
        <v>49</v>
      </c>
      <c r="AJ8" s="106" t="s">
        <v>50</v>
      </c>
      <c r="AK8" s="106" t="s">
        <v>52</v>
      </c>
    </row>
    <row r="9" s="93" customFormat="1" ht="50" customHeight="1" spans="1:37">
      <c r="A9" s="99" t="s">
        <v>102</v>
      </c>
      <c r="B9" s="100" t="s">
        <v>94</v>
      </c>
      <c r="C9" s="101">
        <f ca="1" t="shared" si="1"/>
        <v>29</v>
      </c>
      <c r="D9" s="101">
        <f ca="1" t="shared" si="0"/>
        <v>6</v>
      </c>
      <c r="E9" s="103" t="s">
        <v>109</v>
      </c>
      <c r="F9" s="102" t="s">
        <v>38</v>
      </c>
      <c r="G9" s="103" t="s">
        <v>110</v>
      </c>
      <c r="H9" s="103" t="s">
        <v>111</v>
      </c>
      <c r="I9" s="119" t="s">
        <v>112</v>
      </c>
      <c r="J9" s="102"/>
      <c r="K9" s="103"/>
      <c r="L9" s="105"/>
      <c r="M9" s="106">
        <v>3</v>
      </c>
      <c r="N9" s="106">
        <v>3</v>
      </c>
      <c r="O9" s="106">
        <v>4</v>
      </c>
      <c r="P9" s="106">
        <v>3</v>
      </c>
      <c r="Q9" s="106">
        <f t="shared" si="2"/>
        <v>3.25</v>
      </c>
      <c r="R9" s="106" t="str">
        <f t="shared" si="3"/>
        <v>中</v>
      </c>
      <c r="S9" s="106">
        <v>3</v>
      </c>
      <c r="T9" s="106">
        <v>4</v>
      </c>
      <c r="U9" s="106">
        <v>3</v>
      </c>
      <c r="V9" s="107">
        <f t="shared" si="4"/>
        <v>3.33333333333333</v>
      </c>
      <c r="W9" s="106" t="str">
        <f t="shared" si="5"/>
        <v>中</v>
      </c>
      <c r="X9" s="108">
        <f>VLOOKUP(R9&amp;W9,红绿灯对照表!$C$2:$D$11,2,0)</f>
        <v>2</v>
      </c>
      <c r="Y9" s="109">
        <v>2</v>
      </c>
      <c r="Z9" s="109">
        <v>1</v>
      </c>
      <c r="AA9" s="109">
        <v>2</v>
      </c>
      <c r="AB9" s="106">
        <f t="shared" si="6"/>
        <v>5</v>
      </c>
      <c r="AC9" s="106" t="str">
        <f t="shared" si="7"/>
        <v>低</v>
      </c>
      <c r="AD9" s="106" t="s">
        <v>113</v>
      </c>
      <c r="AE9" s="106" t="s">
        <v>114</v>
      </c>
      <c r="AF9" s="106" t="s">
        <v>101</v>
      </c>
      <c r="AG9" s="106" t="s">
        <v>115</v>
      </c>
      <c r="AH9" s="106" t="s">
        <v>49</v>
      </c>
      <c r="AI9" s="106" t="s">
        <v>49</v>
      </c>
      <c r="AJ9" s="106" t="s">
        <v>50</v>
      </c>
      <c r="AK9" s="106" t="s">
        <v>93</v>
      </c>
    </row>
    <row r="10" s="93" customFormat="1" ht="50" customHeight="1" spans="1:37">
      <c r="A10" s="99" t="s">
        <v>116</v>
      </c>
      <c r="B10" s="100" t="s">
        <v>117</v>
      </c>
      <c r="C10" s="101">
        <f ca="1" t="shared" si="1"/>
        <v>27</v>
      </c>
      <c r="D10" s="101">
        <f ca="1" t="shared" si="0"/>
        <v>4</v>
      </c>
      <c r="E10" s="102" t="s">
        <v>118</v>
      </c>
      <c r="F10" s="102" t="s">
        <v>38</v>
      </c>
      <c r="G10" s="103" t="s">
        <v>119</v>
      </c>
      <c r="H10" s="103" t="s">
        <v>120</v>
      </c>
      <c r="I10" s="119" t="s">
        <v>121</v>
      </c>
      <c r="J10" s="102"/>
      <c r="K10" s="103"/>
      <c r="L10" s="105"/>
      <c r="M10" s="106">
        <v>3</v>
      </c>
      <c r="N10" s="106">
        <v>3</v>
      </c>
      <c r="O10" s="106">
        <v>3</v>
      </c>
      <c r="P10" s="106">
        <v>3</v>
      </c>
      <c r="Q10" s="106">
        <f t="shared" si="2"/>
        <v>3</v>
      </c>
      <c r="R10" s="106" t="str">
        <f t="shared" si="3"/>
        <v>中</v>
      </c>
      <c r="S10" s="106">
        <v>4</v>
      </c>
      <c r="T10" s="106">
        <v>4</v>
      </c>
      <c r="U10" s="106">
        <v>4</v>
      </c>
      <c r="V10" s="107">
        <f t="shared" si="4"/>
        <v>4</v>
      </c>
      <c r="W10" s="106" t="str">
        <f t="shared" si="5"/>
        <v>中</v>
      </c>
      <c r="X10" s="108">
        <f>VLOOKUP(R10&amp;W10,红绿灯对照表!$C$2:$D$11,2,0)</f>
        <v>2</v>
      </c>
      <c r="Y10" s="109">
        <v>2</v>
      </c>
      <c r="Z10" s="109">
        <v>1</v>
      </c>
      <c r="AA10" s="109">
        <v>3</v>
      </c>
      <c r="AB10" s="106">
        <f t="shared" si="6"/>
        <v>6</v>
      </c>
      <c r="AC10" s="106" t="str">
        <f t="shared" si="7"/>
        <v>中</v>
      </c>
      <c r="AD10" s="106" t="s">
        <v>122</v>
      </c>
      <c r="AE10" s="106" t="s">
        <v>123</v>
      </c>
      <c r="AF10" s="106" t="s">
        <v>124</v>
      </c>
      <c r="AG10" s="106" t="s">
        <v>115</v>
      </c>
      <c r="AH10" s="106" t="s">
        <v>49</v>
      </c>
      <c r="AI10" s="106" t="s">
        <v>48</v>
      </c>
      <c r="AJ10" s="106" t="s">
        <v>71</v>
      </c>
      <c r="AK10" s="106" t="s">
        <v>73</v>
      </c>
    </row>
    <row r="11" s="93" customFormat="1" ht="50" customHeight="1" spans="1:37">
      <c r="A11" s="99" t="s">
        <v>125</v>
      </c>
      <c r="B11" s="100" t="s">
        <v>117</v>
      </c>
      <c r="C11" s="101">
        <f ca="1" t="shared" si="1"/>
        <v>40</v>
      </c>
      <c r="D11" s="101">
        <f ca="1" t="shared" si="0"/>
        <v>18</v>
      </c>
      <c r="E11" s="102" t="s">
        <v>126</v>
      </c>
      <c r="F11" s="102" t="s">
        <v>54</v>
      </c>
      <c r="G11" s="103" t="s">
        <v>127</v>
      </c>
      <c r="H11" s="103" t="s">
        <v>128</v>
      </c>
      <c r="I11" s="119" t="s">
        <v>129</v>
      </c>
      <c r="J11" s="102"/>
      <c r="K11" s="103"/>
      <c r="L11" s="105"/>
      <c r="M11" s="106">
        <v>3</v>
      </c>
      <c r="N11" s="106">
        <v>4</v>
      </c>
      <c r="O11" s="106">
        <v>3</v>
      </c>
      <c r="P11" s="106">
        <v>2</v>
      </c>
      <c r="Q11" s="106">
        <f t="shared" si="2"/>
        <v>3</v>
      </c>
      <c r="R11" s="106" t="str">
        <f t="shared" si="3"/>
        <v>中</v>
      </c>
      <c r="S11" s="106">
        <v>4</v>
      </c>
      <c r="T11" s="106">
        <v>3</v>
      </c>
      <c r="U11" s="106">
        <v>4</v>
      </c>
      <c r="V11" s="107">
        <f t="shared" si="4"/>
        <v>3.66666666666667</v>
      </c>
      <c r="W11" s="106" t="str">
        <f t="shared" si="5"/>
        <v>中</v>
      </c>
      <c r="X11" s="108">
        <f>VLOOKUP(R11&amp;W11,红绿灯对照表!$C$2:$D$11,2,0)</f>
        <v>2</v>
      </c>
      <c r="Y11" s="109">
        <v>1</v>
      </c>
      <c r="Z11" s="109">
        <v>1</v>
      </c>
      <c r="AA11" s="109">
        <v>2</v>
      </c>
      <c r="AB11" s="106">
        <f t="shared" si="6"/>
        <v>4</v>
      </c>
      <c r="AC11" s="106" t="str">
        <f t="shared" si="7"/>
        <v>低</v>
      </c>
      <c r="AD11" s="106" t="s">
        <v>130</v>
      </c>
      <c r="AE11" s="106" t="s">
        <v>131</v>
      </c>
      <c r="AF11" s="106" t="s">
        <v>132</v>
      </c>
      <c r="AG11" s="106" t="s">
        <v>133</v>
      </c>
      <c r="AH11" s="106" t="s">
        <v>49</v>
      </c>
      <c r="AI11" s="106" t="s">
        <v>62</v>
      </c>
      <c r="AJ11" s="106" t="s">
        <v>71</v>
      </c>
      <c r="AK11" s="106" t="s">
        <v>116</v>
      </c>
    </row>
    <row r="12" s="93" customFormat="1" ht="50" customHeight="1" spans="1:37">
      <c r="A12" s="99" t="s">
        <v>134</v>
      </c>
      <c r="B12" s="100" t="s">
        <v>117</v>
      </c>
      <c r="C12" s="101">
        <f ca="1" t="shared" si="1"/>
        <v>29</v>
      </c>
      <c r="D12" s="101">
        <f ca="1" t="shared" si="0"/>
        <v>6</v>
      </c>
      <c r="E12" s="102" t="s">
        <v>135</v>
      </c>
      <c r="F12" s="102" t="s">
        <v>38</v>
      </c>
      <c r="G12" s="103" t="s">
        <v>110</v>
      </c>
      <c r="H12" s="103" t="s">
        <v>136</v>
      </c>
      <c r="I12" s="119" t="s">
        <v>137</v>
      </c>
      <c r="J12" s="102"/>
      <c r="K12" s="103"/>
      <c r="L12" s="105"/>
      <c r="M12" s="106">
        <v>4</v>
      </c>
      <c r="N12" s="106">
        <v>3</v>
      </c>
      <c r="O12" s="106">
        <v>4</v>
      </c>
      <c r="P12" s="106">
        <v>3</v>
      </c>
      <c r="Q12" s="106">
        <f t="shared" si="2"/>
        <v>3.5</v>
      </c>
      <c r="R12" s="106" t="str">
        <f t="shared" si="3"/>
        <v>中</v>
      </c>
      <c r="S12" s="106">
        <v>4</v>
      </c>
      <c r="T12" s="106">
        <v>5</v>
      </c>
      <c r="U12" s="106">
        <v>5</v>
      </c>
      <c r="V12" s="107">
        <f t="shared" si="4"/>
        <v>4.66666666666667</v>
      </c>
      <c r="W12" s="106" t="str">
        <f t="shared" si="5"/>
        <v>中</v>
      </c>
      <c r="X12" s="108">
        <f>VLOOKUP(R12&amp;W12,红绿灯对照表!$C$2:$D$11,2,0)</f>
        <v>2</v>
      </c>
      <c r="Y12" s="109">
        <v>2</v>
      </c>
      <c r="Z12" s="109">
        <v>2</v>
      </c>
      <c r="AA12" s="109">
        <v>3</v>
      </c>
      <c r="AB12" s="106">
        <f t="shared" si="6"/>
        <v>7</v>
      </c>
      <c r="AC12" s="106" t="str">
        <f t="shared" si="7"/>
        <v>中</v>
      </c>
      <c r="AD12" s="106" t="s">
        <v>138</v>
      </c>
      <c r="AE12" s="106" t="s">
        <v>139</v>
      </c>
      <c r="AF12" s="106" t="s">
        <v>140</v>
      </c>
      <c r="AG12" s="106" t="s">
        <v>61</v>
      </c>
      <c r="AH12" s="106" t="s">
        <v>48</v>
      </c>
      <c r="AI12" s="106" t="s">
        <v>62</v>
      </c>
      <c r="AJ12" s="106" t="s">
        <v>71</v>
      </c>
      <c r="AK12" s="106" t="s">
        <v>141</v>
      </c>
    </row>
    <row r="20" spans="1:4">
      <c r="A20" s="113" t="s">
        <v>142</v>
      </c>
      <c r="B20" s="113"/>
      <c r="C20" s="113"/>
      <c r="D20" s="113"/>
    </row>
    <row r="21" ht="21" spans="1:4">
      <c r="A21" s="114" t="s">
        <v>21</v>
      </c>
      <c r="B21" s="114" t="s">
        <v>143</v>
      </c>
      <c r="C21" s="114" t="s">
        <v>144</v>
      </c>
      <c r="D21" s="114" t="s">
        <v>145</v>
      </c>
    </row>
    <row r="22" spans="1:4">
      <c r="A22" s="112">
        <v>1</v>
      </c>
      <c r="B22" s="115">
        <f t="shared" ref="B22:B27" si="8">COUNTIF(X:X,A22)</f>
        <v>1</v>
      </c>
      <c r="C22" s="116">
        <f>B22/B28</f>
        <v>0.0909090909090909</v>
      </c>
      <c r="D22" s="116">
        <v>0.1</v>
      </c>
    </row>
    <row r="23" spans="1:4">
      <c r="A23" s="112" t="s">
        <v>146</v>
      </c>
      <c r="B23" s="115">
        <f t="shared" si="8"/>
        <v>1</v>
      </c>
      <c r="C23" s="116">
        <f>B23/B28</f>
        <v>0.0909090909090909</v>
      </c>
      <c r="D23" s="116">
        <v>0.15</v>
      </c>
    </row>
    <row r="24" spans="1:4">
      <c r="A24" s="108">
        <v>2</v>
      </c>
      <c r="B24" s="115">
        <f t="shared" si="8"/>
        <v>7</v>
      </c>
      <c r="C24" s="116">
        <f>B24/B28</f>
        <v>0.636363636363636</v>
      </c>
      <c r="D24" s="116">
        <v>0.45</v>
      </c>
    </row>
    <row r="25" spans="1:4">
      <c r="A25" s="112">
        <v>3</v>
      </c>
      <c r="B25" s="115">
        <f t="shared" si="8"/>
        <v>0</v>
      </c>
      <c r="C25" s="116">
        <f>B25/B28</f>
        <v>0</v>
      </c>
      <c r="D25" s="116">
        <v>0.15</v>
      </c>
    </row>
    <row r="26" spans="1:4">
      <c r="A26" s="112">
        <v>4</v>
      </c>
      <c r="B26" s="115">
        <f t="shared" si="8"/>
        <v>2</v>
      </c>
      <c r="C26" s="116">
        <f>B26/B28</f>
        <v>0.181818181818182</v>
      </c>
      <c r="D26" s="116">
        <v>0.1</v>
      </c>
    </row>
    <row r="27" spans="1:4">
      <c r="A27" s="117">
        <v>5</v>
      </c>
      <c r="B27" s="115">
        <f t="shared" si="8"/>
        <v>0</v>
      </c>
      <c r="C27" s="116">
        <f>B27/B28</f>
        <v>0</v>
      </c>
      <c r="D27" s="116">
        <v>0.05</v>
      </c>
    </row>
    <row r="28" spans="1:4">
      <c r="A28" s="115" t="s">
        <v>147</v>
      </c>
      <c r="B28" s="115">
        <f>SUM(B22:B27)</f>
        <v>11</v>
      </c>
      <c r="C28" s="116">
        <f>B28/B28</f>
        <v>1</v>
      </c>
      <c r="D28" s="116">
        <f>SUM(D22:D27)</f>
        <v>1</v>
      </c>
    </row>
  </sheetData>
  <mergeCells count="1">
    <mergeCell ref="A20:D20"/>
  </mergeCells>
  <conditionalFormatting sqref="X4">
    <cfRule type="cellIs" dxfId="0" priority="106" operator="equal">
      <formula>5</formula>
    </cfRule>
    <cfRule type="cellIs" dxfId="1" priority="107" operator="equal">
      <formula>4</formula>
    </cfRule>
    <cfRule type="cellIs" dxfId="2" priority="108" operator="equal">
      <formula>3</formula>
    </cfRule>
    <cfRule type="cellIs" dxfId="3" priority="109" operator="equal">
      <formula>2</formula>
    </cfRule>
    <cfRule type="cellIs" dxfId="4" priority="110" operator="equal">
      <formula>"2+"</formula>
    </cfRule>
    <cfRule type="cellIs" dxfId="5" priority="111" operator="equal">
      <formula>1</formula>
    </cfRule>
    <cfRule type="cellIs" dxfId="6" priority="113" operator="equal">
      <formula>4</formula>
    </cfRule>
    <cfRule type="cellIs" dxfId="7" priority="114" operator="equal">
      <formula>3</formula>
    </cfRule>
    <cfRule type="cellIs" dxfId="8" priority="115" operator="equal">
      <formula>2</formula>
    </cfRule>
    <cfRule type="cellIs" dxfId="9" priority="116" operator="equal">
      <formula>"2+"</formula>
    </cfRule>
    <cfRule type="cellIs" dxfId="10" priority="117" operator="equal">
      <formula>2</formula>
    </cfRule>
    <cfRule type="cellIs" dxfId="11" priority="118" operator="equal">
      <formula>1</formula>
    </cfRule>
    <cfRule type="cellIs" dxfId="5" priority="119" operator="equal">
      <formula>"2+"</formula>
    </cfRule>
  </conditionalFormatting>
  <conditionalFormatting sqref="X5">
    <cfRule type="cellIs" dxfId="0" priority="121" operator="equal">
      <formula>5</formula>
    </cfRule>
    <cfRule type="cellIs" dxfId="1" priority="122" operator="equal">
      <formula>4</formula>
    </cfRule>
    <cfRule type="cellIs" dxfId="2" priority="123" operator="equal">
      <formula>3</formula>
    </cfRule>
    <cfRule type="cellIs" dxfId="3" priority="124" operator="equal">
      <formula>2</formula>
    </cfRule>
    <cfRule type="cellIs" dxfId="4" priority="125" operator="equal">
      <formula>"2+"</formula>
    </cfRule>
    <cfRule type="cellIs" dxfId="5" priority="126" operator="equal">
      <formula>1</formula>
    </cfRule>
    <cfRule type="cellIs" dxfId="6" priority="128" operator="equal">
      <formula>4</formula>
    </cfRule>
    <cfRule type="cellIs" dxfId="7" priority="129" operator="equal">
      <formula>3</formula>
    </cfRule>
    <cfRule type="cellIs" dxfId="8" priority="130" operator="equal">
      <formula>2</formula>
    </cfRule>
    <cfRule type="cellIs" dxfId="9" priority="131" operator="equal">
      <formula>"2+"</formula>
    </cfRule>
    <cfRule type="cellIs" dxfId="10" priority="132" operator="equal">
      <formula>2</formula>
    </cfRule>
    <cfRule type="cellIs" dxfId="11" priority="133" operator="equal">
      <formula>1</formula>
    </cfRule>
    <cfRule type="cellIs" dxfId="5" priority="134" operator="equal">
      <formula>"2+"</formula>
    </cfRule>
  </conditionalFormatting>
  <conditionalFormatting sqref="X6">
    <cfRule type="cellIs" dxfId="0" priority="16" operator="equal">
      <formula>5</formula>
    </cfRule>
    <cfRule type="cellIs" dxfId="1" priority="17" operator="equal">
      <formula>4</formula>
    </cfRule>
    <cfRule type="cellIs" dxfId="2" priority="18" operator="equal">
      <formula>3</formula>
    </cfRule>
    <cfRule type="cellIs" dxfId="3" priority="19" operator="equal">
      <formula>2</formula>
    </cfRule>
    <cfRule type="cellIs" dxfId="4" priority="20" operator="equal">
      <formula>"2+"</formula>
    </cfRule>
    <cfRule type="cellIs" dxfId="5" priority="21" operator="equal">
      <formula>1</formula>
    </cfRule>
    <cfRule type="cellIs" dxfId="6" priority="23" operator="equal">
      <formula>4</formula>
    </cfRule>
    <cfRule type="cellIs" dxfId="7" priority="24" operator="equal">
      <formula>3</formula>
    </cfRule>
    <cfRule type="cellIs" dxfId="8" priority="25" operator="equal">
      <formula>2</formula>
    </cfRule>
    <cfRule type="cellIs" dxfId="9" priority="26" operator="equal">
      <formula>"2+"</formula>
    </cfRule>
    <cfRule type="cellIs" dxfId="10" priority="27" operator="equal">
      <formula>2</formula>
    </cfRule>
    <cfRule type="cellIs" dxfId="11" priority="28" operator="equal">
      <formula>1</formula>
    </cfRule>
    <cfRule type="cellIs" dxfId="5" priority="29" operator="equal">
      <formula>"2+"</formula>
    </cfRule>
  </conditionalFormatting>
  <conditionalFormatting sqref="X7">
    <cfRule type="cellIs" dxfId="0" priority="46" operator="equal">
      <formula>5</formula>
    </cfRule>
    <cfRule type="cellIs" dxfId="1" priority="47" operator="equal">
      <formula>4</formula>
    </cfRule>
    <cfRule type="cellIs" dxfId="2" priority="48" operator="equal">
      <formula>3</formula>
    </cfRule>
    <cfRule type="cellIs" dxfId="3" priority="49" operator="equal">
      <formula>2</formula>
    </cfRule>
    <cfRule type="cellIs" dxfId="4" priority="50" operator="equal">
      <formula>"2+"</formula>
    </cfRule>
    <cfRule type="cellIs" dxfId="5" priority="51" operator="equal">
      <formula>1</formula>
    </cfRule>
    <cfRule type="cellIs" dxfId="6" priority="53" operator="equal">
      <formula>4</formula>
    </cfRule>
    <cfRule type="cellIs" dxfId="7" priority="54" operator="equal">
      <formula>3</formula>
    </cfRule>
    <cfRule type="cellIs" dxfId="8" priority="55" operator="equal">
      <formula>2</formula>
    </cfRule>
    <cfRule type="cellIs" dxfId="9" priority="56" operator="equal">
      <formula>"2+"</formula>
    </cfRule>
    <cfRule type="cellIs" dxfId="10" priority="57" operator="equal">
      <formula>2</formula>
    </cfRule>
    <cfRule type="cellIs" dxfId="11" priority="58" operator="equal">
      <formula>1</formula>
    </cfRule>
    <cfRule type="cellIs" dxfId="5" priority="59" operator="equal">
      <formula>"2+"</formula>
    </cfRule>
  </conditionalFormatting>
  <conditionalFormatting sqref="X8">
    <cfRule type="cellIs" dxfId="0" priority="1" operator="equal">
      <formula>5</formula>
    </cfRule>
    <cfRule type="cellIs" dxfId="1" priority="2" operator="equal">
      <formula>4</formula>
    </cfRule>
    <cfRule type="cellIs" dxfId="2" priority="3" operator="equal">
      <formula>3</formula>
    </cfRule>
    <cfRule type="cellIs" dxfId="3" priority="4" operator="equal">
      <formula>2</formula>
    </cfRule>
    <cfRule type="cellIs" dxfId="4" priority="5" operator="equal">
      <formula>"2+"</formula>
    </cfRule>
    <cfRule type="cellIs" dxfId="5" priority="6" operator="equal">
      <formula>1</formula>
    </cfRule>
    <cfRule type="cellIs" dxfId="6" priority="8" operator="equal">
      <formula>4</formula>
    </cfRule>
    <cfRule type="cellIs" dxfId="7" priority="9" operator="equal">
      <formula>3</formula>
    </cfRule>
    <cfRule type="cellIs" dxfId="8" priority="10" operator="equal">
      <formula>2</formula>
    </cfRule>
    <cfRule type="cellIs" dxfId="9" priority="11" operator="equal">
      <formula>"2+"</formula>
    </cfRule>
    <cfRule type="cellIs" dxfId="10" priority="12" operator="equal">
      <formula>2</formula>
    </cfRule>
    <cfRule type="cellIs" dxfId="11" priority="13" operator="equal">
      <formula>1</formula>
    </cfRule>
    <cfRule type="cellIs" dxfId="5" priority="14" operator="equal">
      <formula>"2+"</formula>
    </cfRule>
  </conditionalFormatting>
  <conditionalFormatting sqref="X12">
    <cfRule type="cellIs" dxfId="0" priority="76" operator="equal">
      <formula>5</formula>
    </cfRule>
    <cfRule type="cellIs" dxfId="1" priority="77" operator="equal">
      <formula>4</formula>
    </cfRule>
    <cfRule type="cellIs" dxfId="2" priority="78" operator="equal">
      <formula>3</formula>
    </cfRule>
    <cfRule type="cellIs" dxfId="3" priority="79" operator="equal">
      <formula>2</formula>
    </cfRule>
    <cfRule type="cellIs" dxfId="4" priority="80" operator="equal">
      <formula>"2+"</formula>
    </cfRule>
    <cfRule type="cellIs" dxfId="5" priority="81" operator="equal">
      <formula>1</formula>
    </cfRule>
    <cfRule type="cellIs" dxfId="6" priority="83" operator="equal">
      <formula>4</formula>
    </cfRule>
    <cfRule type="cellIs" dxfId="7" priority="84" operator="equal">
      <formula>3</formula>
    </cfRule>
    <cfRule type="cellIs" dxfId="8" priority="85" operator="equal">
      <formula>2</formula>
    </cfRule>
    <cfRule type="cellIs" dxfId="9" priority="86" operator="equal">
      <formula>"2+"</formula>
    </cfRule>
    <cfRule type="cellIs" dxfId="10" priority="87" operator="equal">
      <formula>2</formula>
    </cfRule>
    <cfRule type="cellIs" dxfId="11" priority="88" operator="equal">
      <formula>1</formula>
    </cfRule>
    <cfRule type="cellIs" dxfId="5" priority="89" operator="equal">
      <formula>"2+"</formula>
    </cfRule>
  </conditionalFormatting>
  <conditionalFormatting sqref="A24">
    <cfRule type="cellIs" dxfId="11" priority="105" operator="equal">
      <formula>1</formula>
    </cfRule>
    <cfRule type="cellIs" dxfId="5" priority="104" operator="equal">
      <formula>"2+"</formula>
    </cfRule>
    <cfRule type="cellIs" dxfId="10" priority="102" operator="equal">
      <formula>2</formula>
    </cfRule>
    <cfRule type="cellIs" dxfId="9" priority="101" operator="equal">
      <formula>"2+"</formula>
    </cfRule>
    <cfRule type="cellIs" dxfId="8" priority="100" operator="equal">
      <formula>2</formula>
    </cfRule>
    <cfRule type="cellIs" dxfId="7" priority="99" operator="equal">
      <formula>3</formula>
    </cfRule>
    <cfRule type="cellIs" dxfId="6" priority="98" operator="equal">
      <formula>4</formula>
    </cfRule>
    <cfRule type="cellIs" dxfId="0" priority="97" operator="equal">
      <formula>5</formula>
    </cfRule>
    <cfRule type="cellIs" dxfId="5" priority="96" operator="equal">
      <formula>1</formula>
    </cfRule>
    <cfRule type="cellIs" dxfId="4" priority="95" operator="equal">
      <formula>"2+"</formula>
    </cfRule>
    <cfRule type="cellIs" dxfId="3" priority="94" operator="equal">
      <formula>2</formula>
    </cfRule>
    <cfRule type="cellIs" dxfId="2" priority="93" operator="equal">
      <formula>3</formula>
    </cfRule>
    <cfRule type="cellIs" dxfId="1" priority="92" operator="equal">
      <formula>4</formula>
    </cfRule>
  </conditionalFormatting>
  <conditionalFormatting sqref="X2:X3">
    <cfRule type="cellIs" dxfId="0" priority="31" operator="equal">
      <formula>5</formula>
    </cfRule>
    <cfRule type="cellIs" dxfId="1" priority="32" operator="equal">
      <formula>4</formula>
    </cfRule>
    <cfRule type="cellIs" dxfId="2" priority="33" operator="equal">
      <formula>3</formula>
    </cfRule>
    <cfRule type="cellIs" dxfId="3" priority="34" operator="equal">
      <formula>2</formula>
    </cfRule>
    <cfRule type="cellIs" dxfId="4" priority="35" operator="equal">
      <formula>"2+"</formula>
    </cfRule>
    <cfRule type="cellIs" dxfId="5" priority="36" operator="equal">
      <formula>1</formula>
    </cfRule>
    <cfRule type="cellIs" dxfId="6" priority="38" operator="equal">
      <formula>4</formula>
    </cfRule>
    <cfRule type="cellIs" dxfId="7" priority="39" operator="equal">
      <formula>3</formula>
    </cfRule>
    <cfRule type="cellIs" dxfId="8" priority="40" operator="equal">
      <formula>2</formula>
    </cfRule>
    <cfRule type="cellIs" dxfId="9" priority="41" operator="equal">
      <formula>"2+"</formula>
    </cfRule>
    <cfRule type="cellIs" dxfId="10" priority="42" operator="equal">
      <formula>2</formula>
    </cfRule>
    <cfRule type="cellIs" dxfId="11" priority="43" operator="equal">
      <formula>1</formula>
    </cfRule>
    <cfRule type="cellIs" dxfId="5" priority="44" operator="equal">
      <formula>"2+"</formula>
    </cfRule>
  </conditionalFormatting>
  <conditionalFormatting sqref="X9:X11">
    <cfRule type="cellIs" dxfId="0" priority="61" operator="equal">
      <formula>5</formula>
    </cfRule>
    <cfRule type="cellIs" dxfId="1" priority="62" operator="equal">
      <formula>4</formula>
    </cfRule>
    <cfRule type="cellIs" dxfId="2" priority="63" operator="equal">
      <formula>3</formula>
    </cfRule>
    <cfRule type="cellIs" dxfId="3" priority="64" operator="equal">
      <formula>2</formula>
    </cfRule>
    <cfRule type="cellIs" dxfId="4" priority="65" operator="equal">
      <formula>"2+"</formula>
    </cfRule>
    <cfRule type="cellIs" dxfId="5" priority="66" operator="equal">
      <formula>1</formula>
    </cfRule>
    <cfRule type="cellIs" dxfId="6" priority="68" operator="equal">
      <formula>4</formula>
    </cfRule>
    <cfRule type="cellIs" dxfId="7" priority="69" operator="equal">
      <formula>3</formula>
    </cfRule>
    <cfRule type="cellIs" dxfId="8" priority="70" operator="equal">
      <formula>2</formula>
    </cfRule>
    <cfRule type="cellIs" dxfId="9" priority="71" operator="equal">
      <formula>"2+"</formula>
    </cfRule>
    <cfRule type="cellIs" dxfId="10" priority="72" operator="equal">
      <formula>2</formula>
    </cfRule>
    <cfRule type="cellIs" dxfId="11" priority="73" operator="equal">
      <formula>1</formula>
    </cfRule>
    <cfRule type="cellIs" dxfId="5" priority="74" operator="equal">
      <formula>"2+"</formula>
    </cfRule>
  </conditionalFormatting>
  <conditionalFormatting sqref="A22:A23 A25:A27">
    <cfRule type="cellIs" dxfId="11" priority="150" operator="equal">
      <formula>1</formula>
    </cfRule>
    <cfRule type="cellIs" dxfId="5" priority="149" operator="equal">
      <formula>"2+"</formula>
    </cfRule>
    <cfRule type="cellIs" dxfId="10" priority="147" operator="equal">
      <formula>2</formula>
    </cfRule>
    <cfRule type="cellIs" dxfId="9" priority="146" operator="equal">
      <formula>"2+"</formula>
    </cfRule>
    <cfRule type="cellIs" dxfId="8" priority="145" operator="equal">
      <formula>2</formula>
    </cfRule>
    <cfRule type="cellIs" dxfId="7" priority="144" operator="equal">
      <formula>3</formula>
    </cfRule>
    <cfRule type="cellIs" dxfId="6" priority="143" operator="equal">
      <formula>4</formula>
    </cfRule>
    <cfRule type="cellIs" dxfId="0" priority="142" operator="equal">
      <formula>5</formula>
    </cfRule>
    <cfRule type="cellIs" dxfId="5" priority="141" operator="equal">
      <formula>1</formula>
    </cfRule>
    <cfRule type="cellIs" dxfId="4" priority="140" operator="equal">
      <formula>"2+"</formula>
    </cfRule>
    <cfRule type="cellIs" dxfId="3" priority="139" operator="equal">
      <formula>2</formula>
    </cfRule>
    <cfRule type="cellIs" dxfId="2" priority="138" operator="equal">
      <formula>3</formula>
    </cfRule>
    <cfRule type="cellIs" dxfId="1" priority="137" operator="equal">
      <formula>4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D21" sqref="D21:E21"/>
    </sheetView>
  </sheetViews>
  <sheetFormatPr defaultColWidth="9.59615384615385" defaultRowHeight="16.8"/>
  <cols>
    <col min="1" max="7" width="16.7788461538462" style="36" customWidth="1"/>
    <col min="8" max="8" width="14.2692307692308" style="36" customWidth="1"/>
    <col min="9" max="9" width="24.0480769230769" style="36" customWidth="1"/>
    <col min="10" max="10" width="24.8557692307692" style="36" customWidth="1"/>
    <col min="11" max="16384" width="9.59615384615385" style="36"/>
  </cols>
  <sheetData>
    <row r="1" s="36" customFormat="1" ht="20" customHeight="1" spans="1:10">
      <c r="A1" s="37" t="s">
        <v>148</v>
      </c>
      <c r="B1" s="38"/>
      <c r="C1" s="38"/>
      <c r="D1" s="39"/>
      <c r="E1" s="40"/>
      <c r="F1" s="41" t="s">
        <v>149</v>
      </c>
      <c r="G1" s="42"/>
      <c r="H1" s="42"/>
      <c r="I1" s="42"/>
      <c r="J1" s="42"/>
    </row>
    <row r="2" s="36" customFormat="1" ht="20" customHeight="1" spans="1:10">
      <c r="A2" s="43" t="s">
        <v>150</v>
      </c>
      <c r="B2" s="43" t="s">
        <v>151</v>
      </c>
      <c r="C2" s="43" t="s">
        <v>152</v>
      </c>
      <c r="D2" s="43" t="s">
        <v>21</v>
      </c>
      <c r="E2" s="40"/>
      <c r="F2" s="44" t="s">
        <v>153</v>
      </c>
      <c r="G2" s="44" t="s">
        <v>154</v>
      </c>
      <c r="H2" s="44" t="s">
        <v>155</v>
      </c>
      <c r="I2" s="44" t="s">
        <v>156</v>
      </c>
      <c r="J2" s="44"/>
    </row>
    <row r="3" s="36" customFormat="1" ht="20" customHeight="1" spans="1:10">
      <c r="A3" s="45" t="s">
        <v>62</v>
      </c>
      <c r="B3" s="45" t="s">
        <v>62</v>
      </c>
      <c r="C3" s="45" t="s">
        <v>157</v>
      </c>
      <c r="D3" s="46">
        <v>1</v>
      </c>
      <c r="E3" s="40"/>
      <c r="F3" s="44" t="s">
        <v>158</v>
      </c>
      <c r="G3" s="44" t="s">
        <v>159</v>
      </c>
      <c r="H3" s="44"/>
      <c r="I3" s="44" t="s">
        <v>160</v>
      </c>
      <c r="J3" s="44" t="s">
        <v>161</v>
      </c>
    </row>
    <row r="4" s="36" customFormat="1" ht="20" customHeight="1" spans="1:10">
      <c r="A4" s="45" t="s">
        <v>48</v>
      </c>
      <c r="B4" s="45" t="s">
        <v>62</v>
      </c>
      <c r="C4" s="45" t="s">
        <v>162</v>
      </c>
      <c r="D4" s="47" t="s">
        <v>146</v>
      </c>
      <c r="E4" s="40"/>
      <c r="F4" s="46">
        <v>1</v>
      </c>
      <c r="G4" s="48" t="s">
        <v>163</v>
      </c>
      <c r="H4" s="49" t="s">
        <v>164</v>
      </c>
      <c r="I4" s="49" t="s">
        <v>165</v>
      </c>
      <c r="J4" s="49" t="s">
        <v>166</v>
      </c>
    </row>
    <row r="5" s="36" customFormat="1" ht="20" customHeight="1" spans="1:10">
      <c r="A5" s="45" t="s">
        <v>62</v>
      </c>
      <c r="B5" s="45" t="s">
        <v>48</v>
      </c>
      <c r="C5" s="45" t="s">
        <v>76</v>
      </c>
      <c r="D5" s="47" t="s">
        <v>146</v>
      </c>
      <c r="E5" s="40"/>
      <c r="F5" s="47" t="s">
        <v>146</v>
      </c>
      <c r="G5" s="48" t="s">
        <v>167</v>
      </c>
      <c r="H5" s="49" t="s">
        <v>168</v>
      </c>
      <c r="I5" s="49" t="s">
        <v>169</v>
      </c>
      <c r="J5" s="49" t="s">
        <v>170</v>
      </c>
    </row>
    <row r="6" s="36" customFormat="1" ht="20" customHeight="1" spans="1:10">
      <c r="A6" s="45" t="s">
        <v>49</v>
      </c>
      <c r="B6" s="45" t="s">
        <v>62</v>
      </c>
      <c r="C6" s="45" t="s">
        <v>171</v>
      </c>
      <c r="D6" s="47">
        <v>4</v>
      </c>
      <c r="E6" s="40"/>
      <c r="F6" s="47">
        <v>2</v>
      </c>
      <c r="G6" s="48" t="s">
        <v>172</v>
      </c>
      <c r="H6" s="49" t="s">
        <v>173</v>
      </c>
      <c r="I6" s="49" t="s">
        <v>174</v>
      </c>
      <c r="J6" s="49" t="s">
        <v>175</v>
      </c>
    </row>
    <row r="7" s="36" customFormat="1" ht="20" customHeight="1" spans="1:10">
      <c r="A7" s="45" t="s">
        <v>48</v>
      </c>
      <c r="B7" s="45" t="s">
        <v>48</v>
      </c>
      <c r="C7" s="45" t="s">
        <v>176</v>
      </c>
      <c r="D7" s="47">
        <v>2</v>
      </c>
      <c r="E7" s="40"/>
      <c r="F7" s="50">
        <v>3</v>
      </c>
      <c r="G7" s="48" t="s">
        <v>177</v>
      </c>
      <c r="H7" s="49" t="s">
        <v>178</v>
      </c>
      <c r="I7" s="49" t="s">
        <v>179</v>
      </c>
      <c r="J7" s="49" t="s">
        <v>180</v>
      </c>
    </row>
    <row r="8" s="36" customFormat="1" ht="20" customHeight="1" spans="1:10">
      <c r="A8" s="45" t="s">
        <v>49</v>
      </c>
      <c r="B8" s="45" t="s">
        <v>48</v>
      </c>
      <c r="C8" s="45" t="s">
        <v>181</v>
      </c>
      <c r="D8" s="47">
        <v>4</v>
      </c>
      <c r="E8" s="40"/>
      <c r="F8" s="47">
        <v>4</v>
      </c>
      <c r="G8" s="48" t="s">
        <v>182</v>
      </c>
      <c r="H8" s="49" t="s">
        <v>183</v>
      </c>
      <c r="I8" s="49" t="s">
        <v>174</v>
      </c>
      <c r="J8" s="49" t="s">
        <v>184</v>
      </c>
    </row>
    <row r="9" s="36" customFormat="1" ht="20" customHeight="1" spans="1:10">
      <c r="A9" s="45" t="s">
        <v>62</v>
      </c>
      <c r="B9" s="45" t="s">
        <v>49</v>
      </c>
      <c r="C9" s="45" t="s">
        <v>185</v>
      </c>
      <c r="D9" s="47">
        <v>3</v>
      </c>
      <c r="E9" s="40"/>
      <c r="F9" s="51">
        <v>5</v>
      </c>
      <c r="G9" s="48" t="s">
        <v>186</v>
      </c>
      <c r="H9" s="49" t="s">
        <v>187</v>
      </c>
      <c r="I9" s="49" t="s">
        <v>188</v>
      </c>
      <c r="J9" s="49" t="s">
        <v>189</v>
      </c>
    </row>
    <row r="10" s="36" customFormat="1" ht="20" customHeight="1" spans="1:10">
      <c r="A10" s="45" t="s">
        <v>48</v>
      </c>
      <c r="B10" s="45" t="s">
        <v>49</v>
      </c>
      <c r="C10" s="45" t="s">
        <v>190</v>
      </c>
      <c r="D10" s="47">
        <v>3</v>
      </c>
      <c r="E10" s="40"/>
      <c r="F10" s="52"/>
      <c r="G10" s="52"/>
      <c r="H10" s="52"/>
      <c r="I10" s="52"/>
      <c r="J10" s="52"/>
    </row>
    <row r="11" s="36" customFormat="1" ht="20" customHeight="1" spans="1:10">
      <c r="A11" s="45" t="s">
        <v>49</v>
      </c>
      <c r="B11" s="45" t="s">
        <v>49</v>
      </c>
      <c r="C11" s="45" t="s">
        <v>191</v>
      </c>
      <c r="D11" s="51">
        <v>5</v>
      </c>
      <c r="E11" s="40"/>
      <c r="F11" s="40"/>
      <c r="G11" s="40"/>
      <c r="H11" s="40"/>
      <c r="I11" s="40"/>
      <c r="J11" s="40"/>
    </row>
    <row r="14" s="36" customFormat="1" ht="17.55"/>
    <row r="15" s="36" customFormat="1" ht="20" customHeight="1" spans="1:10">
      <c r="A15" s="53"/>
      <c r="B15" s="54" t="s">
        <v>62</v>
      </c>
      <c r="C15" s="55"/>
      <c r="D15" s="56" t="s">
        <v>146</v>
      </c>
      <c r="E15" s="57">
        <v>1</v>
      </c>
      <c r="G15" s="58" t="s">
        <v>153</v>
      </c>
      <c r="H15" s="59" t="s">
        <v>154</v>
      </c>
      <c r="I15" s="60" t="s">
        <v>192</v>
      </c>
      <c r="J15" s="61"/>
    </row>
    <row r="16" s="36" customFormat="1" ht="27.75" customHeight="1" spans="1:10">
      <c r="A16" s="53"/>
      <c r="B16" s="54"/>
      <c r="C16" s="62">
        <v>3</v>
      </c>
      <c r="D16" s="63" t="s">
        <v>167</v>
      </c>
      <c r="E16" s="64" t="s">
        <v>163</v>
      </c>
      <c r="G16" s="65" t="s">
        <v>158</v>
      </c>
      <c r="H16" s="66" t="s">
        <v>159</v>
      </c>
      <c r="I16" s="67" t="s">
        <v>193</v>
      </c>
      <c r="J16" s="68" t="s">
        <v>194</v>
      </c>
    </row>
    <row r="17" s="36" customFormat="1" ht="30.4" customHeight="1" spans="1:10">
      <c r="A17" s="53"/>
      <c r="B17" s="54"/>
      <c r="C17" s="62" t="s">
        <v>195</v>
      </c>
      <c r="D17" s="69">
        <v>0.15</v>
      </c>
      <c r="E17" s="70">
        <v>0.1</v>
      </c>
      <c r="G17" s="71">
        <v>1</v>
      </c>
      <c r="H17" s="72" t="s">
        <v>163</v>
      </c>
      <c r="I17" s="73" t="s">
        <v>196</v>
      </c>
      <c r="J17" s="74" t="s">
        <v>197</v>
      </c>
    </row>
    <row r="18" s="36" customFormat="1" ht="30.75" customHeight="1" spans="1:10">
      <c r="A18" s="75" t="s">
        <v>150</v>
      </c>
      <c r="B18" s="54" t="s">
        <v>48</v>
      </c>
      <c r="C18" s="76" t="s">
        <v>198</v>
      </c>
      <c r="D18" s="77">
        <v>2</v>
      </c>
      <c r="E18" s="63" t="s">
        <v>146</v>
      </c>
      <c r="G18" s="71" t="s">
        <v>146</v>
      </c>
      <c r="H18" s="72" t="s">
        <v>167</v>
      </c>
      <c r="I18" s="73" t="s">
        <v>199</v>
      </c>
      <c r="J18" s="74" t="s">
        <v>200</v>
      </c>
    </row>
    <row r="19" s="36" customFormat="1" ht="41.75" customHeight="1" spans="1:10">
      <c r="A19" s="75"/>
      <c r="B19" s="54"/>
      <c r="C19" s="78">
        <v>0.15</v>
      </c>
      <c r="D19" s="77" t="s">
        <v>172</v>
      </c>
      <c r="E19" s="63" t="s">
        <v>167</v>
      </c>
      <c r="G19" s="71">
        <v>2</v>
      </c>
      <c r="H19" s="72" t="s">
        <v>172</v>
      </c>
      <c r="I19" s="73" t="s">
        <v>201</v>
      </c>
      <c r="J19" s="74" t="s">
        <v>202</v>
      </c>
    </row>
    <row r="20" s="36" customFormat="1" ht="34.5" customHeight="1" spans="1:10">
      <c r="A20" s="75"/>
      <c r="B20" s="54"/>
      <c r="C20" s="79"/>
      <c r="D20" s="80">
        <v>0.45</v>
      </c>
      <c r="E20" s="69">
        <v>0.15</v>
      </c>
      <c r="G20" s="71">
        <v>3</v>
      </c>
      <c r="H20" s="72" t="s">
        <v>203</v>
      </c>
      <c r="I20" s="73" t="s">
        <v>204</v>
      </c>
      <c r="J20" s="74" t="s">
        <v>205</v>
      </c>
    </row>
    <row r="21" s="36" customFormat="1" ht="39.75" customHeight="1" spans="1:10">
      <c r="A21" s="53"/>
      <c r="B21" s="81" t="s">
        <v>49</v>
      </c>
      <c r="C21" s="82">
        <v>5</v>
      </c>
      <c r="D21" s="83">
        <v>4</v>
      </c>
      <c r="E21" s="83"/>
      <c r="G21" s="71">
        <v>4</v>
      </c>
      <c r="H21" s="72" t="s">
        <v>206</v>
      </c>
      <c r="I21" s="73" t="s">
        <v>207</v>
      </c>
      <c r="J21" s="74" t="s">
        <v>208</v>
      </c>
    </row>
    <row r="22" s="36" customFormat="1" ht="31.4" customHeight="1" spans="1:10">
      <c r="A22" s="53"/>
      <c r="B22" s="81"/>
      <c r="C22" s="82" t="s">
        <v>186</v>
      </c>
      <c r="D22" s="84" t="s">
        <v>209</v>
      </c>
      <c r="E22" s="84"/>
      <c r="G22" s="85">
        <v>5</v>
      </c>
      <c r="H22" s="86" t="s">
        <v>186</v>
      </c>
      <c r="I22" s="87" t="s">
        <v>210</v>
      </c>
      <c r="J22" s="88" t="s">
        <v>211</v>
      </c>
    </row>
    <row r="23" s="36" customFormat="1" ht="20" customHeight="1" spans="1:10">
      <c r="A23" s="53"/>
      <c r="B23" s="81"/>
      <c r="C23" s="89">
        <v>0.05</v>
      </c>
      <c r="D23" s="90">
        <v>0.1</v>
      </c>
      <c r="E23" s="90"/>
    </row>
    <row r="24" s="36" customFormat="1" ht="20" customHeight="1" spans="1:10">
      <c r="A24" s="53"/>
      <c r="B24" s="53"/>
      <c r="C24" s="54" t="s">
        <v>49</v>
      </c>
      <c r="D24" s="54" t="s">
        <v>48</v>
      </c>
      <c r="E24" s="54" t="s">
        <v>62</v>
      </c>
    </row>
    <row r="25" s="36" customFormat="1" ht="20" customHeight="1" spans="1:10">
      <c r="A25" s="91"/>
      <c r="B25" s="53"/>
      <c r="C25" s="53"/>
      <c r="D25" s="92" t="s">
        <v>212</v>
      </c>
      <c r="E25" s="53"/>
    </row>
  </sheetData>
  <mergeCells count="14">
    <mergeCell ref="A1:D1"/>
    <mergeCell ref="F1:J1"/>
    <mergeCell ref="I2:J2"/>
    <mergeCell ref="I15:J15"/>
    <mergeCell ref="D21:E21"/>
    <mergeCell ref="D22:E22"/>
    <mergeCell ref="D23:E23"/>
    <mergeCell ref="A15:A17"/>
    <mergeCell ref="A18:A20"/>
    <mergeCell ref="A21:A23"/>
    <mergeCell ref="B15:B17"/>
    <mergeCell ref="B18:B20"/>
    <mergeCell ref="B21:B23"/>
    <mergeCell ref="H2:H3"/>
  </mergeCells>
  <conditionalFormatting sqref="F5">
    <cfRule type="cellIs" dxfId="5" priority="65" operator="equal">
      <formula>1</formula>
    </cfRule>
    <cfRule type="cellIs" dxfId="4" priority="64" operator="equal">
      <formula>2</formula>
    </cfRule>
    <cfRule type="cellIs" dxfId="3" priority="63" operator="equal">
      <formula>"2+"</formula>
    </cfRule>
    <cfRule type="cellIs" dxfId="2" priority="62" operator="equal">
      <formula>3</formula>
    </cfRule>
    <cfRule type="cellIs" dxfId="2" priority="61" operator="equal">
      <formula>4</formula>
    </cfRule>
    <cfRule type="cellIs" dxfId="12" priority="60" operator="equal">
      <formula>4</formula>
    </cfRule>
    <cfRule type="cellIs" dxfId="0" priority="59" operator="equal">
      <formula>5</formula>
    </cfRule>
  </conditionalFormatting>
  <conditionalFormatting sqref="D6">
    <cfRule type="cellIs" dxfId="5" priority="37" operator="equal">
      <formula>1</formula>
    </cfRule>
    <cfRule type="cellIs" dxfId="4" priority="36" operator="equal">
      <formula>2</formula>
    </cfRule>
    <cfRule type="cellIs" dxfId="3" priority="35" operator="equal">
      <formula>"2+"</formula>
    </cfRule>
    <cfRule type="cellIs" dxfId="2" priority="34" operator="equal">
      <formula>3</formula>
    </cfRule>
    <cfRule type="cellIs" dxfId="2" priority="33" operator="equal">
      <formula>4</formula>
    </cfRule>
    <cfRule type="cellIs" dxfId="12" priority="32" operator="equal">
      <formula>4</formula>
    </cfRule>
    <cfRule type="cellIs" dxfId="0" priority="31" operator="equal">
      <formula>5</formula>
    </cfRule>
  </conditionalFormatting>
  <conditionalFormatting sqref="F6">
    <cfRule type="cellIs" dxfId="5" priority="51" operator="equal">
      <formula>1</formula>
    </cfRule>
    <cfRule type="cellIs" dxfId="4" priority="50" operator="equal">
      <formula>2</formula>
    </cfRule>
    <cfRule type="cellIs" dxfId="3" priority="49" operator="equal">
      <formula>"2+"</formula>
    </cfRule>
    <cfRule type="cellIs" dxfId="2" priority="48" operator="equal">
      <formula>3</formula>
    </cfRule>
    <cfRule type="cellIs" dxfId="2" priority="47" operator="equal">
      <formula>4</formula>
    </cfRule>
    <cfRule type="cellIs" dxfId="12" priority="46" operator="equal">
      <formula>4</formula>
    </cfRule>
    <cfRule type="cellIs" dxfId="0" priority="45" operator="equal">
      <formula>5</formula>
    </cfRule>
  </conditionalFormatting>
  <conditionalFormatting sqref="D7">
    <cfRule type="cellIs" dxfId="5" priority="58" operator="equal">
      <formula>1</formula>
    </cfRule>
    <cfRule type="cellIs" dxfId="4" priority="57" operator="equal">
      <formula>2</formula>
    </cfRule>
    <cfRule type="cellIs" dxfId="3" priority="56" operator="equal">
      <formula>"2+"</formula>
    </cfRule>
    <cfRule type="cellIs" dxfId="2" priority="55" operator="equal">
      <formula>3</formula>
    </cfRule>
    <cfRule type="cellIs" dxfId="2" priority="54" operator="equal">
      <formula>4</formula>
    </cfRule>
    <cfRule type="cellIs" dxfId="12" priority="53" operator="equal">
      <formula>4</formula>
    </cfRule>
    <cfRule type="cellIs" dxfId="0" priority="52" operator="equal">
      <formula>5</formula>
    </cfRule>
  </conditionalFormatting>
  <conditionalFormatting sqref="D8">
    <cfRule type="cellIs" dxfId="5" priority="30" operator="equal">
      <formula>1</formula>
    </cfRule>
    <cfRule type="cellIs" dxfId="4" priority="29" operator="equal">
      <formula>2</formula>
    </cfRule>
    <cfRule type="cellIs" dxfId="3" priority="28" operator="equal">
      <formula>"2+"</formula>
    </cfRule>
    <cfRule type="cellIs" dxfId="2" priority="27" operator="equal">
      <formula>3</formula>
    </cfRule>
    <cfRule type="cellIs" dxfId="2" priority="26" operator="equal">
      <formula>4</formula>
    </cfRule>
    <cfRule type="cellIs" dxfId="12" priority="25" operator="equal">
      <formula>4</formula>
    </cfRule>
    <cfRule type="cellIs" dxfId="0" priority="24" operator="equal">
      <formula>5</formula>
    </cfRule>
  </conditionalFormatting>
  <conditionalFormatting sqref="F8">
    <cfRule type="cellIs" dxfId="5" priority="23" operator="equal">
      <formula>1</formula>
    </cfRule>
    <cfRule type="cellIs" dxfId="4" priority="22" operator="equal">
      <formula>2</formula>
    </cfRule>
    <cfRule type="cellIs" dxfId="3" priority="21" operator="equal">
      <formula>"2+"</formula>
    </cfRule>
    <cfRule type="cellIs" dxfId="2" priority="20" operator="equal">
      <formula>3</formula>
    </cfRule>
    <cfRule type="cellIs" dxfId="2" priority="19" operator="equal">
      <formula>4</formula>
    </cfRule>
    <cfRule type="cellIs" dxfId="12" priority="18" operator="equal">
      <formula>4</formula>
    </cfRule>
    <cfRule type="cellIs" dxfId="0" priority="17" operator="equal">
      <formula>5</formula>
    </cfRule>
  </conditionalFormatting>
  <conditionalFormatting sqref="D21">
    <cfRule type="cellIs" dxfId="11" priority="16" operator="equal">
      <formula>1</formula>
    </cfRule>
    <cfRule type="cellIs" dxfId="5" priority="15" operator="equal">
      <formula>"2+"</formula>
    </cfRule>
    <cfRule type="cellIs" dxfId="10" priority="13" operator="equal">
      <formula>2</formula>
    </cfRule>
    <cfRule type="cellIs" dxfId="9" priority="12" operator="equal">
      <formula>"2+"</formula>
    </cfRule>
    <cfRule type="cellIs" dxfId="8" priority="11" operator="equal">
      <formula>2</formula>
    </cfRule>
    <cfRule type="cellIs" dxfId="7" priority="10" operator="equal">
      <formula>3</formula>
    </cfRule>
    <cfRule type="cellIs" dxfId="6" priority="9" operator="equal">
      <formula>4</formula>
    </cfRule>
    <cfRule type="cellIs" dxfId="0" priority="8" operator="equal">
      <formula>5</formula>
    </cfRule>
    <cfRule type="cellIs" dxfId="5" priority="7" operator="equal">
      <formula>1</formula>
    </cfRule>
    <cfRule type="cellIs" dxfId="4" priority="6" operator="equal">
      <formula>"2+"</formula>
    </cfRule>
    <cfRule type="cellIs" dxfId="3" priority="5" operator="equal">
      <formula>2</formula>
    </cfRule>
    <cfRule type="cellIs" dxfId="2" priority="4" operator="equal">
      <formula>3</formula>
    </cfRule>
    <cfRule type="cellIs" dxfId="1" priority="3" operator="equal">
      <formula>4</formula>
    </cfRule>
  </conditionalFormatting>
  <conditionalFormatting sqref="D4:D5">
    <cfRule type="cellIs" dxfId="5" priority="72" operator="equal">
      <formula>1</formula>
    </cfRule>
    <cfRule type="cellIs" dxfId="4" priority="71" operator="equal">
      <formula>2</formula>
    </cfRule>
    <cfRule type="cellIs" dxfId="3" priority="70" operator="equal">
      <formula>"2+"</formula>
    </cfRule>
    <cfRule type="cellIs" dxfId="2" priority="69" operator="equal">
      <formula>3</formula>
    </cfRule>
    <cfRule type="cellIs" dxfId="2" priority="68" operator="equal">
      <formula>4</formula>
    </cfRule>
    <cfRule type="cellIs" dxfId="12" priority="67" operator="equal">
      <formula>4</formula>
    </cfRule>
    <cfRule type="cellIs" dxfId="0" priority="66" operator="equal">
      <formula>5</formula>
    </cfRule>
  </conditionalFormatting>
  <conditionalFormatting sqref="D9:D10">
    <cfRule type="cellIs" dxfId="5" priority="44" operator="equal">
      <formula>1</formula>
    </cfRule>
    <cfRule type="cellIs" dxfId="4" priority="43" operator="equal">
      <formula>2</formula>
    </cfRule>
    <cfRule type="cellIs" dxfId="3" priority="42" operator="equal">
      <formula>"2+"</formula>
    </cfRule>
    <cfRule type="cellIs" dxfId="2" priority="41" operator="equal">
      <formula>3</formula>
    </cfRule>
    <cfRule type="cellIs" dxfId="2" priority="40" operator="equal">
      <formula>4</formula>
    </cfRule>
    <cfRule type="cellIs" dxfId="12" priority="39" operator="equal">
      <formula>4</formula>
    </cfRule>
    <cfRule type="cellIs" dxfId="0" priority="38" operator="equal">
      <formula>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8" sqref="D8"/>
    </sheetView>
  </sheetViews>
  <sheetFormatPr defaultColWidth="9.59615384615385" defaultRowHeight="16.8" outlineLevelRow="4" outlineLevelCol="6"/>
  <cols>
    <col min="1" max="1" width="11.9326923076923" style="16" customWidth="1"/>
    <col min="2" max="2" width="15.3461538461538" style="16" customWidth="1"/>
    <col min="3" max="7" width="26.2019230769231" style="16" customWidth="1"/>
    <col min="8" max="16384" width="9.59615384615385" style="16"/>
  </cols>
  <sheetData>
    <row r="1" s="19" customFormat="1" ht="18.75" spans="1:7">
      <c r="A1" s="20" t="s">
        <v>213</v>
      </c>
      <c r="B1" s="21" t="s">
        <v>214</v>
      </c>
      <c r="C1" s="21" t="s">
        <v>192</v>
      </c>
      <c r="D1" s="21" t="s">
        <v>215</v>
      </c>
      <c r="E1" s="21" t="s">
        <v>216</v>
      </c>
      <c r="F1" s="21" t="s">
        <v>217</v>
      </c>
      <c r="G1" s="22" t="s">
        <v>218</v>
      </c>
    </row>
    <row r="2" s="16" customFormat="1" ht="61.75" spans="1:7">
      <c r="A2" s="23" t="s">
        <v>219</v>
      </c>
      <c r="B2" s="24" t="s">
        <v>10</v>
      </c>
      <c r="C2" s="25" t="s">
        <v>220</v>
      </c>
      <c r="D2" s="25" t="s">
        <v>221</v>
      </c>
      <c r="E2" s="25" t="s">
        <v>222</v>
      </c>
      <c r="F2" s="25" t="s">
        <v>223</v>
      </c>
      <c r="G2" s="26" t="s">
        <v>224</v>
      </c>
    </row>
    <row r="3" s="16" customFormat="1" ht="61.75" spans="1:7">
      <c r="A3" s="27"/>
      <c r="B3" s="28" t="s">
        <v>11</v>
      </c>
      <c r="C3" s="29" t="s">
        <v>225</v>
      </c>
      <c r="D3" s="29" t="s">
        <v>226</v>
      </c>
      <c r="E3" s="30" t="s">
        <v>227</v>
      </c>
      <c r="F3" s="29" t="s">
        <v>228</v>
      </c>
      <c r="G3" s="31" t="s">
        <v>229</v>
      </c>
    </row>
    <row r="4" s="16" customFormat="1" ht="76" spans="1:7">
      <c r="A4" s="27"/>
      <c r="B4" s="32" t="s">
        <v>12</v>
      </c>
      <c r="C4" s="33" t="s">
        <v>230</v>
      </c>
      <c r="D4" s="33" t="s">
        <v>231</v>
      </c>
      <c r="E4" s="34" t="s">
        <v>232</v>
      </c>
      <c r="F4" s="34" t="s">
        <v>233</v>
      </c>
      <c r="G4" s="35" t="s">
        <v>234</v>
      </c>
    </row>
    <row r="5" s="16" customFormat="1" ht="61" spans="1:7">
      <c r="A5" s="27"/>
      <c r="B5" s="28" t="s">
        <v>13</v>
      </c>
      <c r="C5" s="29" t="s">
        <v>235</v>
      </c>
      <c r="D5" s="29" t="s">
        <v>236</v>
      </c>
      <c r="E5" s="29" t="s">
        <v>237</v>
      </c>
      <c r="F5" s="29" t="s">
        <v>238</v>
      </c>
      <c r="G5" s="31" t="s">
        <v>239</v>
      </c>
    </row>
  </sheetData>
  <mergeCells count="1">
    <mergeCell ref="A2:A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G8" sqref="G8"/>
    </sheetView>
  </sheetViews>
  <sheetFormatPr defaultColWidth="9.59615384615385" defaultRowHeight="16.8" outlineLevelRow="3" outlineLevelCol="4"/>
  <cols>
    <col min="1" max="1" width="15.7019230769231" style="16" customWidth="1"/>
    <col min="2" max="2" width="23.4230769230769" style="16" customWidth="1"/>
    <col min="3" max="3" width="21.625" style="16" customWidth="1"/>
    <col min="4" max="4" width="23.3269230769231" style="16" customWidth="1"/>
    <col min="5" max="5" width="22.25" style="16" customWidth="1"/>
    <col min="6" max="16384" width="9.59615384615385" style="16"/>
  </cols>
  <sheetData>
    <row r="1" s="16" customFormat="1" ht="18.75" spans="1:5">
      <c r="A1" s="2" t="s">
        <v>192</v>
      </c>
      <c r="B1" s="2" t="s">
        <v>240</v>
      </c>
      <c r="C1" s="2" t="s">
        <v>241</v>
      </c>
      <c r="D1" s="2" t="s">
        <v>242</v>
      </c>
      <c r="E1" s="2" t="s">
        <v>243</v>
      </c>
    </row>
    <row r="2" s="16" customFormat="1" ht="34" spans="1:5">
      <c r="A2" s="17" t="s">
        <v>16</v>
      </c>
      <c r="B2" s="18" t="s">
        <v>244</v>
      </c>
      <c r="C2" s="18" t="s">
        <v>245</v>
      </c>
      <c r="D2" s="18" t="s">
        <v>246</v>
      </c>
      <c r="E2" s="18" t="s">
        <v>247</v>
      </c>
    </row>
    <row r="3" s="16" customFormat="1" ht="34" spans="1:5">
      <c r="A3" s="17" t="s">
        <v>17</v>
      </c>
      <c r="B3" s="18" t="s">
        <v>248</v>
      </c>
      <c r="C3" s="18" t="s">
        <v>249</v>
      </c>
      <c r="D3" s="18" t="s">
        <v>250</v>
      </c>
      <c r="E3" s="18" t="s">
        <v>251</v>
      </c>
    </row>
    <row r="4" s="16" customFormat="1" ht="34" spans="1:5">
      <c r="A4" s="17" t="s">
        <v>18</v>
      </c>
      <c r="B4" s="18" t="s">
        <v>252</v>
      </c>
      <c r="C4" s="18" t="s">
        <v>253</v>
      </c>
      <c r="D4" s="18" t="s">
        <v>254</v>
      </c>
      <c r="E4" s="18" t="s">
        <v>255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C28" sqref="C28"/>
    </sheetView>
  </sheetViews>
  <sheetFormatPr defaultColWidth="9.59615384615385" defaultRowHeight="16.8" outlineLevelCol="3"/>
  <cols>
    <col min="1" max="1" width="14.4423076923077" style="1" customWidth="1"/>
    <col min="2" max="2" width="25.3942307692308" style="1" customWidth="1"/>
    <col min="3" max="3" width="73.2307692307692" style="1" customWidth="1"/>
    <col min="4" max="4" width="34.0961538461538" style="1" customWidth="1"/>
    <col min="5" max="16384" width="9.59615384615385" style="1"/>
  </cols>
  <sheetData>
    <row r="1" s="1" customFormat="1" ht="18.75" spans="1:4">
      <c r="A1" s="2" t="s">
        <v>256</v>
      </c>
      <c r="B1" s="2" t="s">
        <v>192</v>
      </c>
      <c r="C1" s="2" t="s">
        <v>257</v>
      </c>
      <c r="D1" s="2" t="s">
        <v>258</v>
      </c>
    </row>
    <row r="2" s="1" customFormat="1" spans="1:4">
      <c r="A2" s="3" t="s">
        <v>259</v>
      </c>
      <c r="B2" s="4" t="s">
        <v>260</v>
      </c>
      <c r="C2" s="5" t="s">
        <v>261</v>
      </c>
      <c r="D2" s="6" t="s">
        <v>262</v>
      </c>
    </row>
    <row r="3" s="1" customFormat="1" spans="1:4">
      <c r="A3" s="7"/>
      <c r="B3" s="8"/>
      <c r="C3" s="9" t="s">
        <v>263</v>
      </c>
      <c r="D3" s="10"/>
    </row>
    <row r="4" s="1" customFormat="1" spans="1:4">
      <c r="A4" s="7"/>
      <c r="B4" s="8"/>
      <c r="C4" s="9" t="s">
        <v>264</v>
      </c>
      <c r="D4" s="10"/>
    </row>
    <row r="5" s="1" customFormat="1" spans="1:4">
      <c r="A5" s="7"/>
      <c r="B5" s="8"/>
      <c r="C5" s="9" t="s">
        <v>265</v>
      </c>
      <c r="D5" s="10"/>
    </row>
    <row r="6" s="1" customFormat="1" spans="1:4">
      <c r="A6" s="7"/>
      <c r="B6" s="8"/>
      <c r="C6" s="9" t="s">
        <v>266</v>
      </c>
      <c r="D6" s="10"/>
    </row>
    <row r="7" s="1" customFormat="1" spans="1:4">
      <c r="A7" s="7"/>
      <c r="B7" s="8"/>
      <c r="C7" s="9" t="s">
        <v>267</v>
      </c>
      <c r="D7" s="10"/>
    </row>
    <row r="8" s="1" customFormat="1" ht="17.55" spans="1:4">
      <c r="A8" s="11"/>
      <c r="B8" s="12"/>
      <c r="C8" s="13" t="s">
        <v>268</v>
      </c>
      <c r="D8" s="10"/>
    </row>
    <row r="9" s="1" customFormat="1" spans="1:4">
      <c r="A9" s="3" t="s">
        <v>269</v>
      </c>
      <c r="B9" s="4" t="s">
        <v>270</v>
      </c>
      <c r="C9" s="5" t="s">
        <v>271</v>
      </c>
      <c r="D9" s="10"/>
    </row>
    <row r="10" s="1" customFormat="1" spans="1:4">
      <c r="A10" s="7"/>
      <c r="B10" s="8"/>
      <c r="C10" s="9" t="s">
        <v>272</v>
      </c>
      <c r="D10" s="10"/>
    </row>
    <row r="11" s="1" customFormat="1" spans="1:4">
      <c r="A11" s="7"/>
      <c r="B11" s="8"/>
      <c r="C11" s="9" t="s">
        <v>273</v>
      </c>
      <c r="D11" s="10"/>
    </row>
    <row r="12" s="1" customFormat="1" spans="1:4">
      <c r="A12" s="7"/>
      <c r="B12" s="8"/>
      <c r="C12" s="9" t="s">
        <v>274</v>
      </c>
      <c r="D12" s="10"/>
    </row>
    <row r="13" s="1" customFormat="1" spans="1:4">
      <c r="A13" s="7"/>
      <c r="B13" s="8"/>
      <c r="C13" s="9" t="s">
        <v>275</v>
      </c>
      <c r="D13" s="10"/>
    </row>
    <row r="14" s="1" customFormat="1" spans="1:4">
      <c r="A14" s="7"/>
      <c r="B14" s="8"/>
      <c r="C14" s="14" t="s">
        <v>276</v>
      </c>
      <c r="D14" s="10"/>
    </row>
    <row r="15" s="1" customFormat="1" ht="17.55" spans="1:4">
      <c r="A15" s="11"/>
      <c r="B15" s="12"/>
      <c r="C15" s="13" t="s">
        <v>277</v>
      </c>
      <c r="D15" s="10"/>
    </row>
    <row r="16" s="1" customFormat="1" spans="1:4">
      <c r="A16" s="3" t="s">
        <v>278</v>
      </c>
      <c r="B16" s="4" t="s">
        <v>279</v>
      </c>
      <c r="C16" s="5" t="s">
        <v>280</v>
      </c>
      <c r="D16" s="10"/>
    </row>
    <row r="17" s="1" customFormat="1" spans="1:4">
      <c r="A17" s="7"/>
      <c r="B17" s="8"/>
      <c r="C17" s="9" t="s">
        <v>281</v>
      </c>
      <c r="D17" s="10"/>
    </row>
    <row r="18" s="1" customFormat="1" spans="1:4">
      <c r="A18" s="7"/>
      <c r="B18" s="8"/>
      <c r="C18" s="9" t="s">
        <v>282</v>
      </c>
      <c r="D18" s="10"/>
    </row>
    <row r="19" s="1" customFormat="1" spans="1:4">
      <c r="A19" s="7"/>
      <c r="B19" s="8"/>
      <c r="C19" s="9" t="s">
        <v>283</v>
      </c>
      <c r="D19" s="10"/>
    </row>
    <row r="20" s="1" customFormat="1" spans="1:4">
      <c r="A20" s="7"/>
      <c r="B20" s="8"/>
      <c r="C20" s="9" t="s">
        <v>284</v>
      </c>
      <c r="D20" s="10"/>
    </row>
    <row r="21" s="1" customFormat="1" spans="1:4">
      <c r="A21" s="7"/>
      <c r="B21" s="8"/>
      <c r="C21" s="9" t="s">
        <v>285</v>
      </c>
      <c r="D21" s="10"/>
    </row>
    <row r="22" s="1" customFormat="1" ht="17.55" spans="1:4">
      <c r="A22" s="11"/>
      <c r="B22" s="12"/>
      <c r="C22" s="13" t="s">
        <v>286</v>
      </c>
      <c r="D22" s="15"/>
    </row>
  </sheetData>
  <mergeCells count="7">
    <mergeCell ref="A2:A8"/>
    <mergeCell ref="A9:A15"/>
    <mergeCell ref="A16:A22"/>
    <mergeCell ref="B2:B8"/>
    <mergeCell ref="B9:B15"/>
    <mergeCell ref="B16:B22"/>
    <mergeCell ref="D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智能化中心研发人员盘点</vt:lpstr>
      <vt:lpstr>红绿灯对照表</vt:lpstr>
      <vt:lpstr>素质</vt:lpstr>
      <vt:lpstr>业绩</vt:lpstr>
      <vt:lpstr>潜力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</dc:creator>
  <cp:lastModifiedBy>微信用户</cp:lastModifiedBy>
  <dcterms:created xsi:type="dcterms:W3CDTF">2024-11-01T12:01:00Z</dcterms:created>
  <dcterms:modified xsi:type="dcterms:W3CDTF">2026-01-12T16:39:02Z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1FC52A094C6C316A26B364694B41C4CA_43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